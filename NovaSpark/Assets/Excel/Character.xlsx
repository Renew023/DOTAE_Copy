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Place\NovaSpark\NovaSpark\Assets\Excel\"/>
    </mc:Choice>
  </mc:AlternateContent>
  <xr:revisionPtr revIDLastSave="0" documentId="13_ncr:1_{8E7289A5-F8EE-4715-B9C7-0A1446ABEC06}" xr6:coauthVersionLast="47" xr6:coauthVersionMax="47" xr10:uidLastSave="{00000000-0000-0000-0000-000000000000}"/>
  <bookViews>
    <workbookView xWindow="-98" yWindow="-98" windowWidth="21795" windowHeight="12975" tabRatio="560" xr2:uid="{00000000-000D-0000-FFFF-FFFF00000000}"/>
  </bookViews>
  <sheets>
    <sheet name="CharacterData" sheetId="1" r:id="rId1"/>
    <sheet name="PlayerData" sheetId="2" r:id="rId2"/>
    <sheet name="EnemyData" sheetId="3" r:id="rId3"/>
    <sheet name="NPCData" sheetId="4" r:id="rId4"/>
    <sheet name="BloodData" sheetId="5" r:id="rId5"/>
  </sheets>
  <definedNames>
    <definedName name="_xlnm._FilterDatabase" localSheetId="0" hidden="1">CharacterData!$A$3:$Z$48</definedName>
    <definedName name="_xlnm._FilterDatabase" localSheetId="2" hidden="1">EnemyData!$A$3:$F$18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22" i="1"/>
  <c r="I23" i="1"/>
  <c r="S9" i="2"/>
  <c r="R9" i="2"/>
  <c r="Q9" i="2"/>
  <c r="P9" i="2"/>
  <c r="O9" i="2"/>
  <c r="N9" i="2"/>
  <c r="M9" i="2"/>
  <c r="L9" i="2"/>
  <c r="K9" i="2"/>
  <c r="R60" i="1"/>
  <c r="Q60" i="1"/>
  <c r="P60" i="1"/>
  <c r="O60" i="1"/>
  <c r="N60" i="1"/>
  <c r="M60" i="1"/>
  <c r="L60" i="1"/>
  <c r="K60" i="1"/>
  <c r="J60" i="1"/>
  <c r="R59" i="1"/>
  <c r="Q59" i="1"/>
  <c r="P59" i="1"/>
  <c r="O59" i="1"/>
  <c r="N59" i="1"/>
  <c r="M59" i="1"/>
  <c r="L59" i="1"/>
  <c r="K59" i="1"/>
  <c r="J59" i="1"/>
  <c r="R58" i="1"/>
  <c r="Q58" i="1"/>
  <c r="P58" i="1"/>
  <c r="O58" i="1"/>
  <c r="N58" i="1"/>
  <c r="M58" i="1"/>
  <c r="L58" i="1"/>
  <c r="K58" i="1"/>
  <c r="J58" i="1"/>
  <c r="R57" i="1"/>
  <c r="Q57" i="1"/>
  <c r="P57" i="1"/>
  <c r="O57" i="1"/>
  <c r="N57" i="1"/>
  <c r="M57" i="1"/>
  <c r="L57" i="1"/>
  <c r="K57" i="1"/>
  <c r="J57" i="1"/>
  <c r="R56" i="1"/>
  <c r="Q56" i="1"/>
  <c r="P56" i="1"/>
  <c r="O56" i="1"/>
  <c r="N56" i="1"/>
  <c r="M56" i="1"/>
  <c r="L56" i="1"/>
  <c r="K56" i="1"/>
  <c r="J56" i="1"/>
  <c r="R55" i="1"/>
  <c r="Q55" i="1"/>
  <c r="P55" i="1"/>
  <c r="O55" i="1"/>
  <c r="N55" i="1"/>
  <c r="M55" i="1"/>
  <c r="L55" i="1"/>
  <c r="K55" i="1"/>
  <c r="J55" i="1"/>
  <c r="R54" i="1"/>
  <c r="Q54" i="1"/>
  <c r="P54" i="1"/>
  <c r="O54" i="1"/>
  <c r="N54" i="1"/>
  <c r="M54" i="1"/>
  <c r="L54" i="1"/>
  <c r="K54" i="1"/>
  <c r="J54" i="1"/>
  <c r="R53" i="1"/>
  <c r="Q53" i="1"/>
  <c r="P53" i="1"/>
  <c r="O53" i="1"/>
  <c r="N53" i="1"/>
  <c r="M53" i="1"/>
  <c r="L53" i="1"/>
  <c r="K53" i="1"/>
  <c r="J53" i="1"/>
  <c r="R52" i="1"/>
  <c r="Q52" i="1"/>
  <c r="P52" i="1"/>
  <c r="O52" i="1"/>
  <c r="N52" i="1"/>
  <c r="M52" i="1"/>
  <c r="L52" i="1"/>
  <c r="K52" i="1"/>
  <c r="J52" i="1"/>
  <c r="R51" i="1"/>
  <c r="Q51" i="1"/>
  <c r="P51" i="1"/>
  <c r="O51" i="1"/>
  <c r="N51" i="1"/>
  <c r="M51" i="1"/>
  <c r="L51" i="1"/>
  <c r="K51" i="1"/>
  <c r="J51" i="1"/>
  <c r="R50" i="1"/>
  <c r="Q50" i="1"/>
  <c r="P50" i="1"/>
  <c r="O50" i="1"/>
  <c r="N50" i="1"/>
  <c r="M50" i="1"/>
  <c r="L50" i="1"/>
  <c r="K50" i="1"/>
  <c r="J50" i="1"/>
  <c r="I50" i="1"/>
  <c r="R49" i="1"/>
  <c r="Q49" i="1"/>
  <c r="P49" i="1"/>
  <c r="O49" i="1"/>
  <c r="N49" i="1"/>
  <c r="M49" i="1"/>
  <c r="L49" i="1"/>
  <c r="K49" i="1"/>
  <c r="J49" i="1"/>
  <c r="I49" i="1"/>
  <c r="R48" i="1"/>
  <c r="Q48" i="1"/>
  <c r="P48" i="1"/>
  <c r="O48" i="1"/>
  <c r="N48" i="1"/>
  <c r="M48" i="1"/>
  <c r="L48" i="1"/>
  <c r="K48" i="1"/>
  <c r="J48" i="1"/>
  <c r="I48" i="1"/>
  <c r="R47" i="1"/>
  <c r="Q47" i="1"/>
  <c r="P47" i="1"/>
  <c r="O47" i="1"/>
  <c r="N47" i="1"/>
  <c r="M47" i="1"/>
  <c r="L47" i="1"/>
  <c r="K47" i="1"/>
  <c r="J47" i="1"/>
  <c r="I47" i="1"/>
  <c r="Q25" i="1"/>
  <c r="Q24" i="1"/>
  <c r="Q23" i="1"/>
  <c r="Q22" i="1"/>
</calcChain>
</file>

<file path=xl/sharedStrings.xml><?xml version="1.0" encoding="utf-8"?>
<sst xmlns="http://schemas.openxmlformats.org/spreadsheetml/2006/main" count="761" uniqueCount="382">
  <si>
    <t>캐릭터 아이디</t>
  </si>
  <si>
    <t>캐릭터 타입</t>
  </si>
  <si>
    <t>한국이름</t>
  </si>
  <si>
    <t>영어이름</t>
  </si>
  <si>
    <t>설명</t>
  </si>
  <si>
    <t>종족 타입(종족 공통 숙련도)</t>
  </si>
  <si>
    <t>진영 타입</t>
  </si>
  <si>
    <t>초기 레벨</t>
  </si>
  <si>
    <t>체력</t>
  </si>
  <si>
    <t>공격력</t>
  </si>
  <si>
    <t>방어력</t>
  </si>
  <si>
    <t>공격속도 &gt; 0</t>
  </si>
  <si>
    <t>사거리 1 &gt;</t>
  </si>
  <si>
    <t>크리티컬</t>
  </si>
  <si>
    <t>명중률 &gt; 0</t>
  </si>
  <si>
    <t>회피</t>
  </si>
  <si>
    <t>힘(무게 감당)</t>
  </si>
  <si>
    <t>속도</t>
  </si>
  <si>
    <t>숙련도 이름</t>
  </si>
  <si>
    <t>숙련도 초기 레벨</t>
  </si>
  <si>
    <t>숙련도 적용 수치</t>
  </si>
  <si>
    <t>초기 스킬 ID</t>
  </si>
  <si>
    <t>초기 스킬 레벨</t>
  </si>
  <si>
    <t>리깅 타입</t>
  </si>
  <si>
    <t>시작 아이템</t>
  </si>
  <si>
    <t>시작 아이템 갯수</t>
  </si>
  <si>
    <t>int</t>
  </si>
  <si>
    <t>Enum&lt;CharacterType&gt;</t>
  </si>
  <si>
    <t>string</t>
  </si>
  <si>
    <t>Enum&lt;BloodType&gt;</t>
  </si>
  <si>
    <t>Enum&lt;VillageType&gt;</t>
  </si>
  <si>
    <t>float</t>
  </si>
  <si>
    <t>List&lt;Enum&lt;Ability&gt;&gt;</t>
  </si>
  <si>
    <t>List&lt;int&gt;</t>
  </si>
  <si>
    <t>List&lt;float&gt;</t>
  </si>
  <si>
    <t>Enum&lt;RiggingType&gt;</t>
  </si>
  <si>
    <t>characterID</t>
  </si>
  <si>
    <t>characterType</t>
  </si>
  <si>
    <t>name_kr</t>
  </si>
  <si>
    <t>name_en</t>
  </si>
  <si>
    <t>description</t>
  </si>
  <si>
    <t>bloodType</t>
  </si>
  <si>
    <t>familyType</t>
  </si>
  <si>
    <t>Level</t>
  </si>
  <si>
    <t>health</t>
  </si>
  <si>
    <t>damage</t>
  </si>
  <si>
    <t>defence</t>
  </si>
  <si>
    <t>attackSpeed</t>
  </si>
  <si>
    <t>attackRange</t>
  </si>
  <si>
    <t>criticalPercent</t>
  </si>
  <si>
    <t>aimPercent</t>
  </si>
  <si>
    <t>missPercent</t>
  </si>
  <si>
    <t>force</t>
  </si>
  <si>
    <t>moveSpeed</t>
  </si>
  <si>
    <t>abilityName</t>
  </si>
  <si>
    <t>abilityInitLevel</t>
  </si>
  <si>
    <t>abilityValue</t>
  </si>
  <si>
    <t>SkillListID</t>
  </si>
  <si>
    <t>SkillListLevel</t>
  </si>
  <si>
    <t>RiggingType</t>
  </si>
  <si>
    <t>StartItem</t>
  </si>
  <si>
    <t>StartItemCount</t>
  </si>
  <si>
    <t>player</t>
  </si>
  <si>
    <t>백성은</t>
  </si>
  <si>
    <t>seongeun</t>
  </si>
  <si>
    <t>손재주가 뛰어나지만 전투에는 약한 모습을 보인다</t>
  </si>
  <si>
    <t>Person</t>
  </si>
  <si>
    <t>CasinoVill</t>
  </si>
  <si>
    <t>Run| Regeneration| Make</t>
  </si>
  <si>
    <t>3| 3| 3</t>
  </si>
  <si>
    <t>3| 3| 4</t>
  </si>
  <si>
    <t>최종현</t>
  </si>
  <si>
    <t>choijonghyun</t>
  </si>
  <si>
    <t>드래곤은 뛰어난 회복력을 가지고 있으며 다른 종족에 비해 모든 능력이 높지만 성장이 느리다.</t>
  </si>
  <si>
    <t>Dragon</t>
  </si>
  <si>
    <t>DragonRare</t>
  </si>
  <si>
    <t>None</t>
  </si>
  <si>
    <t>3</t>
  </si>
  <si>
    <t>4</t>
  </si>
  <si>
    <t>손유민</t>
  </si>
  <si>
    <t>sonyumin</t>
  </si>
  <si>
    <t>경찰을 털다가 쫓겨날 정도로 어리석었다.</t>
  </si>
  <si>
    <t>RookieVill</t>
  </si>
  <si>
    <t>Run| Make</t>
  </si>
  <si>
    <t>3|3</t>
  </si>
  <si>
    <t>3|4</t>
  </si>
  <si>
    <t>가일</t>
  </si>
  <si>
    <t>Guile</t>
  </si>
  <si>
    <t>유망한 기사였지만 언데드와의 전쟁 중 사망하고 스켈레톤으로 다시 깨어났다.</t>
  </si>
  <si>
    <t>UnDead</t>
  </si>
  <si>
    <t>UndeadVill</t>
  </si>
  <si>
    <t>Battle| Run| UnLock| Regeneration| Make</t>
  </si>
  <si>
    <t>3|3|3|3|3</t>
  </si>
  <si>
    <t>3|3|3|3|4</t>
  </si>
  <si>
    <t>지승준</t>
  </si>
  <si>
    <t>jiseungjun</t>
  </si>
  <si>
    <t>눈을 떠보니 인간이였던 내가 언데드?</t>
  </si>
  <si>
    <t>Regeneration</t>
  </si>
  <si>
    <t>호저</t>
  </si>
  <si>
    <t>hozer</t>
  </si>
  <si>
    <t>빈민가의 좀도둑 출신. 기사를 동경하지만, 눈 앞 현실에 집중하며 살아가고 있다.</t>
  </si>
  <si>
    <t>1.2|1.2</t>
  </si>
  <si>
    <t>Humanoid</t>
  </si>
  <si>
    <t>밸런스맨</t>
  </si>
  <si>
    <t>balance</t>
  </si>
  <si>
    <t>enemy</t>
  </si>
  <si>
    <t>테스트용 블럭</t>
  </si>
  <si>
    <t>테스트용 블럭입니다</t>
  </si>
  <si>
    <t>들개</t>
  </si>
  <si>
    <t>Wild Dog</t>
  </si>
  <si>
    <t>황무지에서 흔히 볼 수 있는 사나운 들개. 무리로 공격한다</t>
  </si>
  <si>
    <t>Beast</t>
  </si>
  <si>
    <t>Bite|Howl</t>
  </si>
  <si>
    <t>2|3</t>
  </si>
  <si>
    <t>1.1|0.5</t>
  </si>
  <si>
    <t>거미</t>
  </si>
  <si>
    <t>Spider</t>
  </si>
  <si>
    <t>강한 맹독과 거미줄 공격이 특징. 숲과 동굴에 분포</t>
  </si>
  <si>
    <t>Poison_Bite| WebShot</t>
  </si>
  <si>
    <t>1.3|0.9</t>
  </si>
  <si>
    <t>고블린</t>
  </si>
  <si>
    <t>Goblin</t>
  </si>
  <si>
    <t>약하지만 숫자가 많다. 때로는 무기를 들고 다닌다.</t>
  </si>
  <si>
    <t>Slash| Ambush</t>
  </si>
  <si>
    <t>1|2</t>
  </si>
  <si>
    <t>1.0| 0.6</t>
  </si>
  <si>
    <t>슬라임</t>
  </si>
  <si>
    <t>Slime</t>
  </si>
  <si>
    <t>점액질 몸체로 물리 공격에 강하다. 움직임이 느리다.</t>
  </si>
  <si>
    <t>Elemental</t>
  </si>
  <si>
    <t>Acid_Splash</t>
  </si>
  <si>
    <t>mutationskeleton</t>
  </si>
  <si>
    <t>실험으로 인해 피아식별이 불가능해진 스켈레톤이다</t>
  </si>
  <si>
    <t>늑대</t>
  </si>
  <si>
    <t>wolf</t>
  </si>
  <si>
    <t>야생에 서식하는 평범한 늑대다</t>
  </si>
  <si>
    <t>망자</t>
  </si>
  <si>
    <t>Hollow</t>
  </si>
  <si>
    <t>모두에게 잊혀져 망자가 되었다.</t>
  </si>
  <si>
    <t>Cemetery</t>
  </si>
  <si>
    <t>망자 호위병</t>
  </si>
  <si>
    <t>Hollowguard</t>
  </si>
  <si>
    <t>라스 가문의 사람들이 망자가 되어 망자보다 강력하다,</t>
  </si>
  <si>
    <t>돼지</t>
  </si>
  <si>
    <t>pig</t>
  </si>
  <si>
    <t>자연으로부터 살아남기 위해서 성장했다. 잘못 사냥하다가 사상자가 나오곤 한다.</t>
  </si>
  <si>
    <t>소</t>
  </si>
  <si>
    <t>cow</t>
  </si>
  <si>
    <t>도적 우두머리</t>
  </si>
  <si>
    <t>gang_leader</t>
  </si>
  <si>
    <t>도적단 내에서 가장 무력이 쌔서 우두머리</t>
  </si>
  <si>
    <t>Gang</t>
  </si>
  <si>
    <t>Run</t>
  </si>
  <si>
    <t xml:space="preserve">도적 </t>
  </si>
  <si>
    <t>gang</t>
  </si>
  <si>
    <t>무력으로 쉽게 살아가려는 이들.</t>
  </si>
  <si>
    <t>npc</t>
  </si>
  <si>
    <t>Chars</t>
  </si>
  <si>
    <t>오르투스</t>
  </si>
  <si>
    <t>Ortus</t>
  </si>
  <si>
    <t>가일을 언데드로 일으킨 네크로맨서. 가일의 성장에 흥미로워한다.</t>
  </si>
  <si>
    <t>루크</t>
  </si>
  <si>
    <t>Luke</t>
  </si>
  <si>
    <t>전쟁 중 심각한 부상을 입은 가일의 동료</t>
  </si>
  <si>
    <t>벨그라스</t>
  </si>
  <si>
    <t>Belgras</t>
  </si>
  <si>
    <t>강한 개체를 만들기 위해선 그 어떤짓도 서슴치않는다. 자신의 실험병기들에 대한 자부심을 가지고있고 네크로맨서가 일으킨 초기의 언데드들을 무시하는 경향이 있다.</t>
  </si>
  <si>
    <t>병사</t>
  </si>
  <si>
    <t>soldier</t>
  </si>
  <si>
    <t>왕국의 병사</t>
  </si>
  <si>
    <t>1001|1011</t>
  </si>
  <si>
    <t>1|1</t>
  </si>
  <si>
    <t>스켈레톤</t>
  </si>
  <si>
    <t>skeleton</t>
  </si>
  <si>
    <t>네크로맨서의 기초적인 병사</t>
  </si>
  <si>
    <t>강화상인</t>
  </si>
  <si>
    <t>enhanceMan</t>
  </si>
  <si>
    <t>강화NPC</t>
  </si>
  <si>
    <t>커즈</t>
  </si>
  <si>
    <t>Kurz</t>
  </si>
  <si>
    <t>언데드왕국에서 인정받은 대장장이.</t>
  </si>
  <si>
    <t>3|10</t>
  </si>
  <si>
    <t>정찰병</t>
  </si>
  <si>
    <t>Scout</t>
  </si>
  <si>
    <t>인간진영의 정찰대원</t>
  </si>
  <si>
    <t>정찰병대장</t>
  </si>
  <si>
    <t>ScoutLeader</t>
  </si>
  <si>
    <t>인간진영의 정찰대원을 이끄는 대장</t>
  </si>
  <si>
    <t>네크로맨서</t>
  </si>
  <si>
    <t>Necromancer</t>
  </si>
  <si>
    <t>언데드진영의 네크로맨서</t>
  </si>
  <si>
    <t>플레이어시체</t>
  </si>
  <si>
    <t>DeadBody</t>
  </si>
  <si>
    <t>플레이어 사망 후 생성될 npc</t>
  </si>
  <si>
    <t>0</t>
  </si>
  <si>
    <t>이벨트</t>
  </si>
  <si>
    <t>Ibelteu</t>
  </si>
  <si>
    <t>정체불명의 망자로 플레이어를 도와준다.</t>
  </si>
  <si>
    <t>케인</t>
  </si>
  <si>
    <t>Kane</t>
  </si>
  <si>
    <t>남쪽 묘지를 지키는 경비병</t>
  </si>
  <si>
    <t>리사</t>
  </si>
  <si>
    <t>Lisa</t>
  </si>
  <si>
    <t>케인의 하나뿐인 여동생</t>
  </si>
  <si>
    <t>마을 사람들</t>
  </si>
  <si>
    <t>Villager</t>
  </si>
  <si>
    <t>어린 엘리사</t>
  </si>
  <si>
    <t>Child Elisha</t>
  </si>
  <si>
    <t>엘리사의 어릴 적 모습</t>
  </si>
  <si>
    <t>엘리사 엄마</t>
  </si>
  <si>
    <t>ElishaMother</t>
  </si>
  <si>
    <t>엘리사의 엄마</t>
  </si>
  <si>
    <t>그레이브</t>
  </si>
  <si>
    <t>Grave</t>
  </si>
  <si>
    <t>북쪽 묘지를 지키는 노인</t>
  </si>
  <si>
    <t>좀도둑 친구(치누)</t>
  </si>
  <si>
    <t>thief_chinu</t>
  </si>
  <si>
    <t>호저의 친구, 도둑질을 하며 하루를 근근히 살아가고 있다.</t>
  </si>
  <si>
    <t>좀도둑 보스</t>
  </si>
  <si>
    <t>thief_boss</t>
  </si>
  <si>
    <t>뒷세계를 관리하는 보스, 수전노 성격이라 일만 잘하면 좋아한다.</t>
  </si>
  <si>
    <t>Battle</t>
  </si>
  <si>
    <t>배고픈 아이</t>
  </si>
  <si>
    <t>hungry_boy</t>
  </si>
  <si>
    <t>언제나 배고파한다.</t>
  </si>
  <si>
    <t>도둑 패거리</t>
  </si>
  <si>
    <t>thief_mob</t>
  </si>
  <si>
    <t>도둑. 근데 손버릇이 나빠 도둑질을 실패하면 무력을 휘두르려 든다.</t>
  </si>
  <si>
    <t>좀도둑 소두목(포치)</t>
  </si>
  <si>
    <t>thief_underboss</t>
  </si>
  <si>
    <t>보스의 자리를 호시탐탐 노리는 2인자.</t>
  </si>
  <si>
    <t>Battle, Run</t>
  </si>
  <si>
    <t>2|2</t>
  </si>
  <si>
    <t>정보상(챠니)</t>
  </si>
  <si>
    <t>broker_chani</t>
  </si>
  <si>
    <t>정보도 팔고 "뒷 일"을 처리하고 큰 돈을 만지기도 한다</t>
  </si>
  <si>
    <t>기사</t>
  </si>
  <si>
    <t>knight</t>
  </si>
  <si>
    <t>강한 무력을 가지고 있다. 범죄를 저지르면 이들과 적대하게 된다.</t>
  </si>
  <si>
    <t>10|2</t>
  </si>
  <si>
    <t>2|1.2</t>
  </si>
  <si>
    <t>유랑상인 하히</t>
  </si>
  <si>
    <t>traintrader_hahi</t>
  </si>
  <si>
    <t>돌아다니는 상인이다. 유용한 물건을 판다.</t>
  </si>
  <si>
    <t>TrainTrader</t>
  </si>
  <si>
    <t>잡화상인</t>
  </si>
  <si>
    <t>other_trader</t>
  </si>
  <si>
    <t>잡화에 쓰이는 물건을 판매하는 상인</t>
  </si>
  <si>
    <t>SosuVill</t>
  </si>
  <si>
    <t>마을 경비</t>
  </si>
  <si>
    <t>village_Guard</t>
  </si>
  <si>
    <t>마을 안에서 간단한 사건들을 해결한다. 언젠가 기사가 되는 것을 희망한다.</t>
  </si>
  <si>
    <t>아이템 강화를 해주는 아저씨다</t>
  </si>
  <si>
    <t>카지노 딜러</t>
  </si>
  <si>
    <t>casino_dealer</t>
  </si>
  <si>
    <t>사람의 비위를 잘 맞출줄 안다. 돈을 탈탈 털린 이들이 딜러를 적대하는 일은 거의 없다</t>
  </si>
  <si>
    <t>마을 안내원</t>
  </si>
  <si>
    <t>village_guide</t>
  </si>
  <si>
    <t>마을에 대소사적인 일들을 처리하는 일종의 공무원</t>
  </si>
  <si>
    <t>돈주어(우두머리)</t>
  </si>
  <si>
    <t>donjua</t>
  </si>
  <si>
    <t>루키마을의 우두머리다</t>
  </si>
  <si>
    <t>20|10</t>
  </si>
  <si>
    <t>5|3</t>
  </si>
  <si>
    <t>숙련도 성장 경험치 보정</t>
  </si>
  <si>
    <t>숙련도 맥스 레벨</t>
  </si>
  <si>
    <t>배고픔</t>
  </si>
  <si>
    <t>목마름</t>
  </si>
  <si>
    <t>한계 레벨</t>
  </si>
  <si>
    <t>레벨마다 추가 성장치</t>
  </si>
  <si>
    <t>필요 경험치</t>
  </si>
  <si>
    <t>메인퀘ID</t>
  </si>
  <si>
    <t>체력성장치</t>
  </si>
  <si>
    <t>공격력성장치</t>
  </si>
  <si>
    <t>방어력성장치</t>
  </si>
  <si>
    <t>공격속도 성장치</t>
  </si>
  <si>
    <t>크리티컬성장치</t>
  </si>
  <si>
    <t>명중률성장치</t>
  </si>
  <si>
    <t>회피성장치</t>
  </si>
  <si>
    <t>걷는 속도 성장치</t>
  </si>
  <si>
    <t>힘 성장치</t>
  </si>
  <si>
    <t>선행 퀘스트 발행</t>
  </si>
  <si>
    <t>abilityExpWeight</t>
  </si>
  <si>
    <t>abilityMaxLevel</t>
  </si>
  <si>
    <t>hungry</t>
  </si>
  <si>
    <t>thirsty</t>
  </si>
  <si>
    <t>initLevel</t>
  </si>
  <si>
    <t>maxLevel</t>
  </si>
  <si>
    <t>levelWeight</t>
  </si>
  <si>
    <t>exp</t>
  </si>
  <si>
    <t>questID</t>
  </si>
  <si>
    <t>preQuestID</t>
  </si>
  <si>
    <t>1.5|1.5|1.5|1.5</t>
  </si>
  <si>
    <t>20|20|20|20</t>
  </si>
  <si>
    <t>0.5| 0.5</t>
  </si>
  <si>
    <t>20|20</t>
  </si>
  <si>
    <t>1.8| 1.8| 1.2</t>
  </si>
  <si>
    <t>20| 20| 20</t>
  </si>
  <si>
    <t>1.8| 1.2| 0.5| 1.5| 1.5| 1| 1.8| 0.8| 1| 1</t>
  </si>
  <si>
    <t>20|20|20|20|20|20|20|20|20|20</t>
  </si>
  <si>
    <t>1.5| 1.5</t>
  </si>
  <si>
    <t>20| 20</t>
  </si>
  <si>
    <t>30|30</t>
  </si>
  <si>
    <t>선공몹</t>
  </si>
  <si>
    <t>감지 범위</t>
  </si>
  <si>
    <t>이동 범위</t>
  </si>
  <si>
    <t>공격 시야각</t>
  </si>
  <si>
    <t>소환 위치</t>
  </si>
  <si>
    <t>bool</t>
  </si>
  <si>
    <t>List&lt;Enum&lt;PlaceType&gt;&gt;</t>
  </si>
  <si>
    <t>isFirst</t>
  </si>
  <si>
    <t>targetingRange</t>
  </si>
  <si>
    <t>wanderMoveRange</t>
  </si>
  <si>
    <t>AttackRange</t>
  </si>
  <si>
    <t>spawnPlace</t>
  </si>
  <si>
    <t>Field</t>
  </si>
  <si>
    <t>다이얼로그 종류</t>
  </si>
  <si>
    <t>NPC 타입</t>
  </si>
  <si>
    <t>캐릭터별 고유대사</t>
  </si>
  <si>
    <t>Enum&lt;NPCType&gt;</t>
  </si>
  <si>
    <t>List&lt;string&gt;</t>
  </si>
  <si>
    <t>DiaglogList</t>
  </si>
  <si>
    <t>npcType</t>
  </si>
  <si>
    <t>CharacterTalk</t>
  </si>
  <si>
    <t>WeaponNPC</t>
  </si>
  <si>
    <t>EnhanceNPC</t>
  </si>
  <si>
    <t>DeadBodyNPC</t>
  </si>
  <si>
    <t>OtherNPC</t>
  </si>
  <si>
    <t>CasinoNPC</t>
  </si>
  <si>
    <t>종족이름</t>
  </si>
  <si>
    <t>종족 공통 숙련도</t>
  </si>
  <si>
    <t>숙련도 현재 레벨</t>
  </si>
  <si>
    <t>BloodName</t>
  </si>
  <si>
    <t>bloodAbility</t>
  </si>
  <si>
    <t>2| 2</t>
  </si>
  <si>
    <t>Undead</t>
  </si>
  <si>
    <t>Leg4</t>
  </si>
  <si>
    <t>소비상인</t>
  </si>
  <si>
    <t>consumptionMan</t>
  </si>
  <si>
    <t>소비상인이다</t>
  </si>
  <si>
    <t>PositionNPC</t>
  </si>
  <si>
    <t>2|4</t>
  </si>
  <si>
    <t>2|5</t>
  </si>
  <si>
    <t>1.1|0.6</t>
  </si>
  <si>
    <t>1.1|0.7</t>
  </si>
  <si>
    <t>방어구상인</t>
  </si>
  <si>
    <t>ArmorMan</t>
  </si>
  <si>
    <t>방어구를 판매하는 상인이다.</t>
  </si>
  <si>
    <t>ArmorNPC</t>
    <phoneticPr fontId="1" type="noConversion"/>
  </si>
  <si>
    <t xml:space="preserve">DropItemIDs </t>
    <phoneticPr fontId="1" type="noConversion"/>
  </si>
  <si>
    <t xml:space="preserve">DropRates </t>
    <phoneticPr fontId="1" type="noConversion"/>
  </si>
  <si>
    <t>DropCounts</t>
    <phoneticPr fontId="1" type="noConversion"/>
  </si>
  <si>
    <t>드랍아이템</t>
    <phoneticPr fontId="1" type="noConversion"/>
  </si>
  <si>
    <t>드랍확률</t>
    <phoneticPr fontId="1" type="noConversion"/>
  </si>
  <si>
    <t>드랍갯수</t>
    <phoneticPr fontId="1" type="noConversion"/>
  </si>
  <si>
    <t>List&lt;int&gt;</t>
    <phoneticPr fontId="1" type="noConversion"/>
  </si>
  <si>
    <t>List&lt;float&gt;</t>
    <phoneticPr fontId="1" type="noConversion"/>
  </si>
  <si>
    <t>2212|3004</t>
    <phoneticPr fontId="1" type="noConversion"/>
  </si>
  <si>
    <t>2212|2203|3004</t>
    <phoneticPr fontId="1" type="noConversion"/>
  </si>
  <si>
    <t>2201|3004</t>
    <phoneticPr fontId="1" type="noConversion"/>
  </si>
  <si>
    <t>2202|3004</t>
    <phoneticPr fontId="1" type="noConversion"/>
  </si>
  <si>
    <t>2208|2209|2211|3004</t>
    <phoneticPr fontId="1" type="noConversion"/>
  </si>
  <si>
    <t>1|1</t>
    <phoneticPr fontId="1" type="noConversion"/>
  </si>
  <si>
    <t>1|1|1|1</t>
    <phoneticPr fontId="1" type="noConversion"/>
  </si>
  <si>
    <t>1|1|1</t>
    <phoneticPr fontId="1" type="noConversion"/>
  </si>
  <si>
    <t>20|50</t>
    <phoneticPr fontId="1" type="noConversion"/>
  </si>
  <si>
    <t>20|20|50</t>
    <phoneticPr fontId="1" type="noConversion"/>
  </si>
  <si>
    <t>10|10|30|50</t>
    <phoneticPr fontId="1" type="noConversion"/>
  </si>
  <si>
    <t>드랍골드최소치</t>
    <phoneticPr fontId="1" type="noConversion"/>
  </si>
  <si>
    <t>드랍골드최대치</t>
    <phoneticPr fontId="1" type="noConversion"/>
  </si>
  <si>
    <t>int</t>
    <phoneticPr fontId="1" type="noConversion"/>
  </si>
  <si>
    <t>DropGoldMin</t>
    <phoneticPr fontId="1" type="noConversion"/>
  </si>
  <si>
    <t>DropGoldMax</t>
    <phoneticPr fontId="1" type="noConversion"/>
  </si>
  <si>
    <t>무기상인</t>
    <phoneticPr fontId="1" type="noConversion"/>
  </si>
  <si>
    <t>늑대 우두머리</t>
    <phoneticPr fontId="1" type="noConversion"/>
  </si>
  <si>
    <r>
      <rPr>
        <sz val="11"/>
        <color rgb="FF000000"/>
        <rFont val="맑은 고딕"/>
        <family val="3"/>
        <charset val="129"/>
      </rPr>
      <t>자연으로부터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살아남기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위해서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성장했다</t>
    </r>
    <r>
      <rPr>
        <sz val="11"/>
        <color rgb="FF000000"/>
        <rFont val="Arial"/>
        <family val="2"/>
      </rPr>
      <t xml:space="preserve">. </t>
    </r>
    <r>
      <rPr>
        <sz val="11"/>
        <color rgb="FF000000"/>
        <rFont val="맑은 고딕"/>
        <family val="3"/>
        <charset val="129"/>
      </rPr>
      <t>잘못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사냥하다가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사상자가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나오곤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한다</t>
    </r>
    <r>
      <rPr>
        <sz val="11"/>
        <color rgb="FF000000"/>
        <rFont val="Arial"/>
        <family val="2"/>
      </rPr>
      <t>.</t>
    </r>
    <phoneticPr fontId="1" type="noConversion"/>
  </si>
  <si>
    <r>
      <rPr>
        <sz val="11"/>
        <color theme="1"/>
        <rFont val="맑은 고딕"/>
        <family val="3"/>
        <charset val="129"/>
      </rPr>
      <t>야생에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서식하는 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늑대다</t>
    </r>
    <phoneticPr fontId="1" type="noConversion"/>
  </si>
  <si>
    <t>약탈자</t>
    <phoneticPr fontId="1" type="noConversion"/>
  </si>
  <si>
    <t>밸런스를 잡기 위한 1포인트당 증가하는 능력치를 확인해보자(60 분배+레벨당 10) 총10개 스택</t>
    <phoneticPr fontId="1" type="noConversion"/>
  </si>
  <si>
    <t>스켈레톤</t>
    <phoneticPr fontId="1" type="noConversion"/>
  </si>
  <si>
    <t>1.2|3</t>
    <phoneticPr fontId="1" type="noConversion"/>
  </si>
  <si>
    <t>Still|Run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</si>
</sst>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,\ m\,\ d"/>
  </numFmts>
  <fonts count="18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11"/>
      <color theme="1"/>
      <name val="Arial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b/>
      <sz val="11"/>
      <color rgb="FF000000"/>
      <name val="&quot;맑은 고딕&quot;"/>
      <family val="3"/>
      <charset val="129"/>
    </font>
    <font>
      <b/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i/>
      <sz val="11"/>
      <color rgb="FF000000"/>
      <name val="&quot;맑은 고딕&quot;"/>
      <family val="3"/>
      <charset val="129"/>
    </font>
    <font>
      <sz val="11"/>
      <color rgb="FF000000"/>
      <name val="&quot;Malgun Gothic&quot;"/>
    </font>
    <font>
      <sz val="11"/>
      <color rgb="FF000000"/>
      <name val="Inherit"/>
    </font>
    <font>
      <u/>
      <sz val="11"/>
      <color theme="10"/>
      <name val="Arial"/>
      <family val="2"/>
      <scheme val="minor"/>
    </font>
    <font>
      <u/>
      <sz val="11"/>
      <color theme="1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맑은 고딕"/>
      <family val="2"/>
      <charset val="129"/>
    </font>
    <font>
      <sz val="11"/>
      <color rgb="FF000000"/>
      <name val="Arial"/>
      <family val="3"/>
      <charset val="129"/>
    </font>
    <font>
      <sz val="11"/>
      <color theme="1"/>
      <name val="Arial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4">
    <xf numFmtId="0" fontId="0" fillId="0" borderId="0" xfId="0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left"/>
    </xf>
    <xf numFmtId="49" fontId="4" fillId="0" borderId="0" xfId="0" applyNumberFormat="1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6" fillId="0" borderId="0" xfId="0" applyFont="1" applyAlignment="1">
      <alignment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/>
    <xf numFmtId="0" fontId="7" fillId="0" borderId="0" xfId="0" applyFont="1" applyAlignment="1"/>
    <xf numFmtId="0" fontId="8" fillId="0" borderId="0" xfId="0" applyFont="1" applyAlignme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0" fontId="9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0" fillId="2" borderId="0" xfId="0" applyFont="1" applyFill="1" applyAlignment="1">
      <alignment horizontal="left" wrapText="1"/>
    </xf>
    <xf numFmtId="0" fontId="4" fillId="2" borderId="0" xfId="0" applyFont="1" applyFill="1" applyAlignment="1"/>
    <xf numFmtId="0" fontId="3" fillId="0" borderId="0" xfId="0" applyFont="1" applyAlignment="1"/>
    <xf numFmtId="176" fontId="3" fillId="0" borderId="0" xfId="0" applyNumberFormat="1" applyFont="1" applyAlignment="1">
      <alignment wrapText="1"/>
    </xf>
    <xf numFmtId="0" fontId="13" fillId="0" borderId="0" xfId="0" applyFont="1" applyAlignment="1">
      <alignment horizontal="right" wrapText="1"/>
    </xf>
    <xf numFmtId="0" fontId="13" fillId="0" borderId="0" xfId="0" applyFont="1" applyAlignment="1">
      <alignment wrapText="1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2"/>
  <sheetViews>
    <sheetView tabSelected="1" topLeftCell="G1" workbookViewId="0">
      <selection activeCell="K9" sqref="K9"/>
    </sheetView>
  </sheetViews>
  <sheetFormatPr defaultColWidth="12.59765625" defaultRowHeight="15.75" customHeight="1"/>
  <cols>
    <col min="2" max="2" width="19.73046875" customWidth="1"/>
    <col min="3" max="3" width="16.265625" customWidth="1"/>
    <col min="4" max="4" width="14.86328125" customWidth="1"/>
    <col min="5" max="5" width="77.86328125" customWidth="1"/>
    <col min="6" max="6" width="22.265625" customWidth="1"/>
    <col min="7" max="7" width="17.1328125" customWidth="1"/>
    <col min="19" max="19" width="39.265625" customWidth="1"/>
    <col min="20" max="21" width="13.86328125" customWidth="1"/>
    <col min="22" max="22" width="26" customWidth="1"/>
    <col min="23" max="23" width="13.86328125" customWidth="1"/>
    <col min="24" max="24" width="16.3984375" customWidth="1"/>
    <col min="25" max="25" width="13.73046875" customWidth="1"/>
    <col min="28" max="28" width="17.265625" customWidth="1"/>
  </cols>
  <sheetData>
    <row r="1" spans="1:41" ht="16.8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spans="1:41" ht="16.899999999999999">
      <c r="A2" s="1" t="s">
        <v>26</v>
      </c>
      <c r="B2" s="1" t="s">
        <v>27</v>
      </c>
      <c r="C2" s="1" t="s">
        <v>28</v>
      </c>
      <c r="D2" s="1" t="s">
        <v>28</v>
      </c>
      <c r="E2" s="1" t="s">
        <v>28</v>
      </c>
      <c r="F2" s="1" t="s">
        <v>29</v>
      </c>
      <c r="G2" s="1" t="s">
        <v>30</v>
      </c>
      <c r="H2" s="1" t="s">
        <v>26</v>
      </c>
      <c r="I2" s="1" t="s">
        <v>31</v>
      </c>
      <c r="J2" s="1" t="s">
        <v>31</v>
      </c>
      <c r="K2" s="1" t="s">
        <v>31</v>
      </c>
      <c r="L2" s="1" t="s">
        <v>31</v>
      </c>
      <c r="M2" s="1" t="s">
        <v>31</v>
      </c>
      <c r="N2" s="1" t="s">
        <v>31</v>
      </c>
      <c r="O2" s="1" t="s">
        <v>31</v>
      </c>
      <c r="P2" s="1" t="s">
        <v>31</v>
      </c>
      <c r="Q2" s="1" t="s">
        <v>26</v>
      </c>
      <c r="R2" s="1" t="s">
        <v>31</v>
      </c>
      <c r="S2" s="2" t="s">
        <v>32</v>
      </c>
      <c r="T2" s="1" t="s">
        <v>33</v>
      </c>
      <c r="U2" s="1" t="s">
        <v>34</v>
      </c>
      <c r="V2" s="3" t="s">
        <v>33</v>
      </c>
      <c r="W2" s="3" t="s">
        <v>33</v>
      </c>
      <c r="X2" s="3" t="s">
        <v>35</v>
      </c>
      <c r="Y2" s="3" t="s">
        <v>33</v>
      </c>
      <c r="Z2" s="3" t="s">
        <v>33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ht="16.899999999999999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5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2" t="s">
        <v>54</v>
      </c>
      <c r="T3" s="1" t="s">
        <v>55</v>
      </c>
      <c r="U3" s="1" t="s">
        <v>56</v>
      </c>
      <c r="V3" s="3" t="s">
        <v>57</v>
      </c>
      <c r="W3" s="3" t="s">
        <v>58</v>
      </c>
      <c r="X3" s="3" t="s">
        <v>59</v>
      </c>
      <c r="Y3" s="3" t="s">
        <v>60</v>
      </c>
      <c r="Z3" s="3" t="s">
        <v>61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</row>
    <row r="4" spans="1:41" ht="16.899999999999999">
      <c r="A4" s="6">
        <v>1</v>
      </c>
      <c r="B4" s="1" t="s">
        <v>62</v>
      </c>
      <c r="C4" s="1" t="s">
        <v>63</v>
      </c>
      <c r="D4" s="1" t="s">
        <v>64</v>
      </c>
      <c r="E4" s="1" t="s">
        <v>65</v>
      </c>
      <c r="F4" s="5" t="s">
        <v>66</v>
      </c>
      <c r="G4" s="5" t="s">
        <v>67</v>
      </c>
      <c r="H4" s="6">
        <v>1</v>
      </c>
      <c r="I4" s="6">
        <v>100</v>
      </c>
      <c r="J4" s="6">
        <v>5</v>
      </c>
      <c r="K4" s="6">
        <v>5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500</v>
      </c>
      <c r="R4" s="6">
        <v>10</v>
      </c>
      <c r="S4" s="2" t="s">
        <v>68</v>
      </c>
      <c r="T4" s="7" t="s">
        <v>69</v>
      </c>
      <c r="U4" s="7" t="s">
        <v>70</v>
      </c>
      <c r="V4" s="3">
        <v>4001</v>
      </c>
      <c r="W4" s="3">
        <v>1</v>
      </c>
      <c r="X4" s="3"/>
      <c r="Y4" s="3">
        <v>0</v>
      </c>
      <c r="Z4" s="3">
        <v>0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4"/>
    </row>
    <row r="5" spans="1:41" ht="16.899999999999999">
      <c r="A5" s="6">
        <v>2</v>
      </c>
      <c r="B5" s="1" t="s">
        <v>62</v>
      </c>
      <c r="C5" s="1" t="s">
        <v>71</v>
      </c>
      <c r="D5" s="1" t="s">
        <v>72</v>
      </c>
      <c r="E5" s="1" t="s">
        <v>73</v>
      </c>
      <c r="F5" s="5" t="s">
        <v>74</v>
      </c>
      <c r="G5" s="5" t="s">
        <v>75</v>
      </c>
      <c r="H5" s="6">
        <v>1</v>
      </c>
      <c r="I5" s="6">
        <v>500</v>
      </c>
      <c r="J5" s="6">
        <v>40</v>
      </c>
      <c r="K5" s="6">
        <v>10</v>
      </c>
      <c r="L5" s="6">
        <v>0.7</v>
      </c>
      <c r="M5" s="6">
        <v>3</v>
      </c>
      <c r="N5" s="6">
        <v>10</v>
      </c>
      <c r="O5" s="6">
        <v>1</v>
      </c>
      <c r="P5" s="6">
        <v>1</v>
      </c>
      <c r="Q5" s="6">
        <v>1000</v>
      </c>
      <c r="R5" s="6">
        <v>12</v>
      </c>
      <c r="S5" s="2" t="s">
        <v>76</v>
      </c>
      <c r="T5" s="7" t="s">
        <v>77</v>
      </c>
      <c r="U5" s="7" t="s">
        <v>78</v>
      </c>
      <c r="V5" s="3">
        <v>4001</v>
      </c>
      <c r="W5" s="3">
        <v>1</v>
      </c>
      <c r="X5" s="3"/>
      <c r="Y5" s="3">
        <v>0</v>
      </c>
      <c r="Z5" s="3">
        <v>0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"/>
    </row>
    <row r="6" spans="1:41" ht="16.899999999999999">
      <c r="A6" s="6">
        <v>3</v>
      </c>
      <c r="B6" s="1" t="s">
        <v>62</v>
      </c>
      <c r="C6" s="1" t="s">
        <v>79</v>
      </c>
      <c r="D6" s="1" t="s">
        <v>80</v>
      </c>
      <c r="E6" s="1" t="s">
        <v>81</v>
      </c>
      <c r="F6" s="5" t="s">
        <v>66</v>
      </c>
      <c r="G6" s="5" t="s">
        <v>82</v>
      </c>
      <c r="H6" s="6">
        <v>1</v>
      </c>
      <c r="I6" s="6">
        <v>200</v>
      </c>
      <c r="J6" s="6">
        <v>10</v>
      </c>
      <c r="K6" s="6">
        <v>6</v>
      </c>
      <c r="L6" s="6">
        <v>1.5</v>
      </c>
      <c r="M6" s="6">
        <v>3</v>
      </c>
      <c r="N6" s="6">
        <v>5</v>
      </c>
      <c r="O6" s="6">
        <v>100</v>
      </c>
      <c r="P6" s="6">
        <v>1.5</v>
      </c>
      <c r="Q6" s="6">
        <v>500</v>
      </c>
      <c r="R6" s="6">
        <v>5</v>
      </c>
      <c r="S6" s="2" t="s">
        <v>83</v>
      </c>
      <c r="T6" s="7" t="s">
        <v>84</v>
      </c>
      <c r="U6" s="7" t="s">
        <v>85</v>
      </c>
      <c r="V6" s="3">
        <v>4001</v>
      </c>
      <c r="W6" s="3">
        <v>1</v>
      </c>
      <c r="X6" s="3"/>
      <c r="Y6" s="3">
        <v>0</v>
      </c>
      <c r="Z6" s="3">
        <v>0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4"/>
    </row>
    <row r="7" spans="1:41" ht="16.899999999999999">
      <c r="A7" s="8">
        <v>4</v>
      </c>
      <c r="B7" s="9" t="s">
        <v>62</v>
      </c>
      <c r="C7" s="9" t="s">
        <v>86</v>
      </c>
      <c r="D7" s="9" t="s">
        <v>87</v>
      </c>
      <c r="E7" s="9" t="s">
        <v>88</v>
      </c>
      <c r="F7" s="5" t="s">
        <v>89</v>
      </c>
      <c r="G7" s="5" t="s">
        <v>90</v>
      </c>
      <c r="H7" s="6">
        <v>1</v>
      </c>
      <c r="I7" s="8">
        <v>400</v>
      </c>
      <c r="J7" s="8">
        <v>26</v>
      </c>
      <c r="K7" s="8">
        <v>10</v>
      </c>
      <c r="L7" s="8">
        <v>0.8</v>
      </c>
      <c r="M7" s="8">
        <v>3</v>
      </c>
      <c r="N7" s="8">
        <v>3</v>
      </c>
      <c r="O7" s="8">
        <v>100</v>
      </c>
      <c r="P7" s="8">
        <v>2</v>
      </c>
      <c r="Q7" s="8">
        <v>500</v>
      </c>
      <c r="R7" s="8">
        <v>5</v>
      </c>
      <c r="S7" s="10" t="s">
        <v>91</v>
      </c>
      <c r="T7" s="11" t="s">
        <v>92</v>
      </c>
      <c r="U7" s="11" t="s">
        <v>93</v>
      </c>
      <c r="V7" s="3">
        <v>4001</v>
      </c>
      <c r="W7" s="3">
        <v>1</v>
      </c>
      <c r="X7" s="3"/>
      <c r="Y7" s="3">
        <v>0</v>
      </c>
      <c r="Z7" s="3">
        <v>0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</row>
    <row r="8" spans="1:41" ht="16.899999999999999">
      <c r="A8" s="6">
        <v>5</v>
      </c>
      <c r="B8" s="1" t="s">
        <v>62</v>
      </c>
      <c r="C8" s="1" t="s">
        <v>94</v>
      </c>
      <c r="D8" s="1" t="s">
        <v>95</v>
      </c>
      <c r="E8" s="1" t="s">
        <v>96</v>
      </c>
      <c r="F8" s="5" t="s">
        <v>89</v>
      </c>
      <c r="G8" s="5" t="s">
        <v>90</v>
      </c>
      <c r="H8" s="6">
        <v>1</v>
      </c>
      <c r="I8" s="6">
        <v>100</v>
      </c>
      <c r="J8" s="6">
        <v>5</v>
      </c>
      <c r="K8" s="6">
        <v>5</v>
      </c>
      <c r="L8" s="6">
        <v>4</v>
      </c>
      <c r="M8" s="6">
        <v>4</v>
      </c>
      <c r="N8" s="6">
        <v>10</v>
      </c>
      <c r="O8" s="6">
        <v>1</v>
      </c>
      <c r="P8" s="6">
        <v>1.5</v>
      </c>
      <c r="Q8" s="6">
        <v>200</v>
      </c>
      <c r="R8" s="6">
        <v>3</v>
      </c>
      <c r="S8" s="2" t="s">
        <v>97</v>
      </c>
      <c r="T8" s="7" t="s">
        <v>77</v>
      </c>
      <c r="U8" s="7" t="s">
        <v>78</v>
      </c>
      <c r="V8" s="3">
        <v>4001</v>
      </c>
      <c r="W8" s="3">
        <v>1</v>
      </c>
      <c r="X8" s="14" t="s">
        <v>102</v>
      </c>
      <c r="Y8" s="3">
        <v>0</v>
      </c>
      <c r="Z8" s="3">
        <v>0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4"/>
    </row>
    <row r="9" spans="1:41" ht="16.899999999999999">
      <c r="A9" s="12">
        <v>6</v>
      </c>
      <c r="B9" s="13" t="s">
        <v>62</v>
      </c>
      <c r="C9" s="13" t="s">
        <v>98</v>
      </c>
      <c r="D9" s="13" t="s">
        <v>99</v>
      </c>
      <c r="E9" s="13" t="s">
        <v>100</v>
      </c>
      <c r="F9" s="14" t="s">
        <v>66</v>
      </c>
      <c r="G9" s="14" t="s">
        <v>82</v>
      </c>
      <c r="H9" s="6">
        <v>1</v>
      </c>
      <c r="I9" s="12">
        <v>300</v>
      </c>
      <c r="J9" s="12">
        <v>23</v>
      </c>
      <c r="K9" s="12">
        <v>8</v>
      </c>
      <c r="L9" s="12">
        <v>1.2</v>
      </c>
      <c r="M9" s="12">
        <v>3</v>
      </c>
      <c r="N9" s="12">
        <v>8</v>
      </c>
      <c r="O9" s="12">
        <v>100</v>
      </c>
      <c r="P9" s="12">
        <v>8</v>
      </c>
      <c r="Q9" s="12">
        <v>500</v>
      </c>
      <c r="R9" s="12">
        <v>5</v>
      </c>
      <c r="S9" s="15" t="s">
        <v>381</v>
      </c>
      <c r="T9" s="16" t="s">
        <v>84</v>
      </c>
      <c r="U9" s="16" t="s">
        <v>380</v>
      </c>
      <c r="V9" s="3">
        <v>4001</v>
      </c>
      <c r="W9" s="3">
        <v>1</v>
      </c>
      <c r="X9" s="14" t="s">
        <v>102</v>
      </c>
      <c r="Y9" s="17">
        <v>0</v>
      </c>
      <c r="Z9" s="17">
        <v>0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4"/>
    </row>
    <row r="10" spans="1:41" ht="16.899999999999999">
      <c r="A10" s="6">
        <v>7</v>
      </c>
      <c r="B10" s="1" t="s">
        <v>62</v>
      </c>
      <c r="C10" s="1" t="s">
        <v>103</v>
      </c>
      <c r="D10" s="1" t="s">
        <v>104</v>
      </c>
      <c r="E10" s="1" t="s">
        <v>378</v>
      </c>
      <c r="F10" s="5" t="s">
        <v>66</v>
      </c>
      <c r="G10" s="5" t="s">
        <v>82</v>
      </c>
      <c r="H10" s="6">
        <v>1</v>
      </c>
      <c r="I10" s="6">
        <v>20</v>
      </c>
      <c r="J10" s="6">
        <v>3</v>
      </c>
      <c r="K10" s="6">
        <v>1</v>
      </c>
      <c r="L10" s="6">
        <v>0.1</v>
      </c>
      <c r="M10" s="6">
        <v>0.1</v>
      </c>
      <c r="N10" s="6">
        <v>0.5</v>
      </c>
      <c r="O10" s="6">
        <v>0.2</v>
      </c>
      <c r="P10" s="6">
        <v>0.2</v>
      </c>
      <c r="Q10" s="6">
        <v>50</v>
      </c>
      <c r="R10" s="6">
        <v>1</v>
      </c>
      <c r="S10" s="2"/>
      <c r="T10" s="7"/>
      <c r="U10" s="7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4"/>
    </row>
    <row r="11" spans="1:41" ht="16.899999999999999">
      <c r="A11" s="6">
        <v>701</v>
      </c>
      <c r="B11" s="1" t="s">
        <v>105</v>
      </c>
      <c r="C11" s="18" t="s">
        <v>106</v>
      </c>
      <c r="D11" s="1" t="s">
        <v>80</v>
      </c>
      <c r="E11" s="1" t="s">
        <v>107</v>
      </c>
      <c r="F11" s="5" t="s">
        <v>66</v>
      </c>
      <c r="G11" s="5" t="s">
        <v>82</v>
      </c>
      <c r="H11" s="6">
        <v>1</v>
      </c>
      <c r="I11" s="6">
        <v>200</v>
      </c>
      <c r="J11" s="6">
        <v>10</v>
      </c>
      <c r="K11" s="6">
        <v>6</v>
      </c>
      <c r="L11" s="6">
        <v>1.5</v>
      </c>
      <c r="M11" s="6">
        <v>3</v>
      </c>
      <c r="N11" s="6">
        <v>5</v>
      </c>
      <c r="O11" s="6">
        <v>100</v>
      </c>
      <c r="P11" s="6">
        <v>1.5</v>
      </c>
      <c r="Q11" s="6">
        <v>500</v>
      </c>
      <c r="R11" s="8">
        <v>36</v>
      </c>
      <c r="S11" s="2"/>
      <c r="T11" s="7"/>
      <c r="U11" s="7"/>
      <c r="V11" s="3">
        <v>4001</v>
      </c>
      <c r="W11" s="3">
        <v>1</v>
      </c>
      <c r="X11" s="3"/>
      <c r="Y11" s="3">
        <v>0</v>
      </c>
      <c r="Z11" s="3">
        <v>0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/>
    </row>
    <row r="12" spans="1:41" ht="16.899999999999999">
      <c r="A12" s="6">
        <v>102</v>
      </c>
      <c r="B12" s="1" t="s">
        <v>105</v>
      </c>
      <c r="C12" s="1" t="s">
        <v>377</v>
      </c>
      <c r="D12" s="1" t="s">
        <v>80</v>
      </c>
      <c r="E12" s="1" t="s">
        <v>81</v>
      </c>
      <c r="F12" s="5" t="s">
        <v>66</v>
      </c>
      <c r="G12" s="5" t="s">
        <v>82</v>
      </c>
      <c r="H12" s="6">
        <v>1</v>
      </c>
      <c r="I12" s="6">
        <v>150</v>
      </c>
      <c r="J12" s="6">
        <v>12</v>
      </c>
      <c r="K12" s="6">
        <v>6</v>
      </c>
      <c r="L12" s="6">
        <v>1.5</v>
      </c>
      <c r="M12" s="6">
        <v>3</v>
      </c>
      <c r="N12" s="6">
        <v>5</v>
      </c>
      <c r="O12" s="6">
        <v>100</v>
      </c>
      <c r="P12" s="6">
        <v>1.5</v>
      </c>
      <c r="Q12" s="6">
        <v>501</v>
      </c>
      <c r="R12" s="6">
        <v>18</v>
      </c>
      <c r="S12" s="2"/>
      <c r="T12" s="7"/>
      <c r="U12" s="7"/>
      <c r="V12" s="3">
        <v>4001</v>
      </c>
      <c r="W12" s="3">
        <v>1</v>
      </c>
      <c r="X12" s="4"/>
      <c r="Y12" s="3">
        <v>0</v>
      </c>
      <c r="Z12" s="3">
        <v>0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ht="16.899999999999999">
      <c r="A13" s="6">
        <v>103</v>
      </c>
      <c r="B13" s="1" t="s">
        <v>105</v>
      </c>
      <c r="C13" s="1" t="s">
        <v>374</v>
      </c>
      <c r="D13" s="1" t="s">
        <v>80</v>
      </c>
      <c r="E13" s="32" t="s">
        <v>376</v>
      </c>
      <c r="F13" s="5" t="s">
        <v>66</v>
      </c>
      <c r="G13" s="5" t="s">
        <v>82</v>
      </c>
      <c r="H13" s="6">
        <v>1</v>
      </c>
      <c r="I13" s="6">
        <v>180</v>
      </c>
      <c r="J13" s="6">
        <v>12</v>
      </c>
      <c r="K13" s="6">
        <v>6</v>
      </c>
      <c r="L13" s="6">
        <v>1.5</v>
      </c>
      <c r="M13" s="6">
        <v>3</v>
      </c>
      <c r="N13" s="6">
        <v>5</v>
      </c>
      <c r="O13" s="6">
        <v>100</v>
      </c>
      <c r="P13" s="6">
        <v>1.5</v>
      </c>
      <c r="Q13" s="6">
        <v>502</v>
      </c>
      <c r="R13" s="6">
        <v>18</v>
      </c>
      <c r="S13" s="2"/>
      <c r="T13" s="7"/>
      <c r="U13" s="7"/>
      <c r="V13" s="3">
        <v>4001</v>
      </c>
      <c r="W13" s="3">
        <v>1</v>
      </c>
      <c r="X13" s="4"/>
      <c r="Y13" s="3">
        <v>0</v>
      </c>
      <c r="Z13" s="3">
        <v>0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ht="13.9">
      <c r="A14" s="8">
        <v>201</v>
      </c>
      <c r="B14" s="9" t="s">
        <v>105</v>
      </c>
      <c r="C14" s="9" t="s">
        <v>108</v>
      </c>
      <c r="D14" s="9" t="s">
        <v>109</v>
      </c>
      <c r="E14" s="9" t="s">
        <v>110</v>
      </c>
      <c r="F14" s="9" t="s">
        <v>111</v>
      </c>
      <c r="G14" s="9" t="s">
        <v>82</v>
      </c>
      <c r="H14" s="6">
        <v>1</v>
      </c>
      <c r="I14" s="8">
        <v>100</v>
      </c>
      <c r="J14" s="8">
        <v>11</v>
      </c>
      <c r="K14" s="8">
        <v>1</v>
      </c>
      <c r="L14" s="8">
        <v>0.7</v>
      </c>
      <c r="M14" s="8">
        <v>0.5</v>
      </c>
      <c r="N14" s="8">
        <v>2</v>
      </c>
      <c r="O14" s="8">
        <v>100</v>
      </c>
      <c r="P14" s="8">
        <v>0.5</v>
      </c>
      <c r="Q14" s="8">
        <v>100</v>
      </c>
      <c r="R14" s="6">
        <v>18</v>
      </c>
      <c r="S14" s="10" t="s">
        <v>112</v>
      </c>
      <c r="T14" s="9" t="s">
        <v>113</v>
      </c>
      <c r="U14" s="9" t="s">
        <v>114</v>
      </c>
      <c r="V14" s="3">
        <v>4001</v>
      </c>
      <c r="W14" s="3">
        <v>1</v>
      </c>
      <c r="X14" s="3"/>
      <c r="Y14" s="3">
        <v>0</v>
      </c>
      <c r="Z14" s="3">
        <v>0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13.9">
      <c r="A15" s="8">
        <v>202</v>
      </c>
      <c r="B15" s="9" t="s">
        <v>105</v>
      </c>
      <c r="C15" s="9" t="s">
        <v>115</v>
      </c>
      <c r="D15" s="9" t="s">
        <v>116</v>
      </c>
      <c r="E15" s="9" t="s">
        <v>117</v>
      </c>
      <c r="F15" s="9" t="s">
        <v>111</v>
      </c>
      <c r="G15" s="9" t="s">
        <v>82</v>
      </c>
      <c r="H15" s="6">
        <v>1</v>
      </c>
      <c r="I15" s="8">
        <v>100</v>
      </c>
      <c r="J15" s="8">
        <v>9</v>
      </c>
      <c r="K15" s="8">
        <v>2</v>
      </c>
      <c r="L15" s="8">
        <v>0.8</v>
      </c>
      <c r="M15" s="8">
        <v>0.7</v>
      </c>
      <c r="N15" s="8">
        <v>2</v>
      </c>
      <c r="O15" s="8">
        <v>100</v>
      </c>
      <c r="P15" s="8">
        <v>0.7</v>
      </c>
      <c r="Q15" s="8">
        <v>100</v>
      </c>
      <c r="R15" s="6">
        <v>18</v>
      </c>
      <c r="S15" s="10" t="s">
        <v>118</v>
      </c>
      <c r="T15" s="9" t="s">
        <v>113</v>
      </c>
      <c r="U15" s="9" t="s">
        <v>119</v>
      </c>
      <c r="V15" s="3">
        <v>4001</v>
      </c>
      <c r="W15" s="3">
        <v>1</v>
      </c>
      <c r="X15" s="3"/>
      <c r="Y15" s="3">
        <v>0</v>
      </c>
      <c r="Z15" s="3">
        <v>0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13.9">
      <c r="A16" s="8">
        <v>203</v>
      </c>
      <c r="B16" s="9" t="s">
        <v>105</v>
      </c>
      <c r="C16" s="9" t="s">
        <v>120</v>
      </c>
      <c r="D16" s="9" t="s">
        <v>121</v>
      </c>
      <c r="E16" s="9" t="s">
        <v>122</v>
      </c>
      <c r="F16" s="9" t="s">
        <v>66</v>
      </c>
      <c r="G16" s="9" t="s">
        <v>82</v>
      </c>
      <c r="H16" s="6">
        <v>1</v>
      </c>
      <c r="I16" s="8">
        <v>120</v>
      </c>
      <c r="J16" s="8">
        <v>11</v>
      </c>
      <c r="K16" s="8">
        <v>2</v>
      </c>
      <c r="L16" s="8">
        <v>0.6</v>
      </c>
      <c r="M16" s="8">
        <v>0.5</v>
      </c>
      <c r="N16" s="8">
        <v>2</v>
      </c>
      <c r="O16" s="8">
        <v>100</v>
      </c>
      <c r="P16" s="8">
        <v>0.4</v>
      </c>
      <c r="Q16" s="8">
        <v>100</v>
      </c>
      <c r="R16" s="6">
        <v>18</v>
      </c>
      <c r="S16" s="10" t="s">
        <v>123</v>
      </c>
      <c r="T16" s="9" t="s">
        <v>124</v>
      </c>
      <c r="U16" s="9" t="s">
        <v>125</v>
      </c>
      <c r="V16" s="3">
        <v>4001</v>
      </c>
      <c r="W16" s="3">
        <v>1</v>
      </c>
      <c r="X16" s="3"/>
      <c r="Y16" s="3">
        <v>0</v>
      </c>
      <c r="Z16" s="3">
        <v>0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13.9">
      <c r="A17" s="8">
        <v>204</v>
      </c>
      <c r="B17" s="9" t="s">
        <v>105</v>
      </c>
      <c r="C17" s="9" t="s">
        <v>126</v>
      </c>
      <c r="D17" s="9" t="s">
        <v>127</v>
      </c>
      <c r="E17" s="9" t="s">
        <v>128</v>
      </c>
      <c r="F17" s="9" t="s">
        <v>129</v>
      </c>
      <c r="G17" s="9" t="s">
        <v>82</v>
      </c>
      <c r="H17" s="6">
        <v>1</v>
      </c>
      <c r="I17" s="8">
        <v>100</v>
      </c>
      <c r="J17" s="8">
        <v>9</v>
      </c>
      <c r="K17" s="8">
        <v>2</v>
      </c>
      <c r="L17" s="8">
        <v>0.4</v>
      </c>
      <c r="M17" s="8">
        <v>0.5</v>
      </c>
      <c r="N17" s="8">
        <v>1</v>
      </c>
      <c r="O17" s="8">
        <v>100</v>
      </c>
      <c r="P17" s="8">
        <v>0.3</v>
      </c>
      <c r="Q17" s="8">
        <v>100</v>
      </c>
      <c r="R17" s="6">
        <v>18</v>
      </c>
      <c r="S17" s="10" t="s">
        <v>130</v>
      </c>
      <c r="T17" s="8">
        <v>2</v>
      </c>
      <c r="U17" s="8">
        <v>0.7</v>
      </c>
      <c r="V17" s="3">
        <v>4001</v>
      </c>
      <c r="W17" s="3">
        <v>1</v>
      </c>
      <c r="X17" s="3"/>
      <c r="Y17" s="3">
        <v>0</v>
      </c>
      <c r="Z17" s="3">
        <v>0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ht="16.899999999999999">
      <c r="A18" s="3">
        <v>205</v>
      </c>
      <c r="B18" s="9" t="s">
        <v>105</v>
      </c>
      <c r="C18" s="33" t="s">
        <v>379</v>
      </c>
      <c r="D18" s="9" t="s">
        <v>131</v>
      </c>
      <c r="E18" s="3" t="s">
        <v>132</v>
      </c>
      <c r="F18" s="9" t="s">
        <v>89</v>
      </c>
      <c r="G18" s="5" t="s">
        <v>90</v>
      </c>
      <c r="H18" s="6">
        <v>1</v>
      </c>
      <c r="I18" s="8">
        <v>160</v>
      </c>
      <c r="J18" s="8">
        <v>12</v>
      </c>
      <c r="K18" s="8">
        <v>5</v>
      </c>
      <c r="L18" s="8">
        <v>1</v>
      </c>
      <c r="M18" s="8">
        <v>1</v>
      </c>
      <c r="N18" s="8">
        <v>0</v>
      </c>
      <c r="O18" s="8">
        <v>100</v>
      </c>
      <c r="P18" s="8">
        <v>0</v>
      </c>
      <c r="Q18" s="8">
        <v>100</v>
      </c>
      <c r="R18" s="6">
        <v>18</v>
      </c>
      <c r="S18" s="10" t="s">
        <v>76</v>
      </c>
      <c r="T18" s="8">
        <v>3</v>
      </c>
      <c r="U18" s="8">
        <v>3</v>
      </c>
      <c r="V18" s="3">
        <v>4001</v>
      </c>
      <c r="W18" s="3">
        <v>1</v>
      </c>
      <c r="X18" s="3"/>
      <c r="Y18" s="3">
        <v>0</v>
      </c>
      <c r="Z18" s="3">
        <v>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ht="13.9">
      <c r="A19" s="3">
        <v>206</v>
      </c>
      <c r="B19" s="9" t="s">
        <v>105</v>
      </c>
      <c r="C19" s="3" t="s">
        <v>133</v>
      </c>
      <c r="D19" s="3" t="s">
        <v>134</v>
      </c>
      <c r="E19" s="3" t="s">
        <v>135</v>
      </c>
      <c r="F19" s="9" t="s">
        <v>111</v>
      </c>
      <c r="G19" s="9" t="s">
        <v>82</v>
      </c>
      <c r="H19" s="6">
        <v>1</v>
      </c>
      <c r="I19" s="8">
        <v>100</v>
      </c>
      <c r="J19" s="8">
        <v>10</v>
      </c>
      <c r="K19" s="8">
        <v>1</v>
      </c>
      <c r="L19" s="8">
        <v>1</v>
      </c>
      <c r="M19" s="8">
        <v>0.5</v>
      </c>
      <c r="N19" s="8">
        <v>2</v>
      </c>
      <c r="O19" s="8">
        <v>100</v>
      </c>
      <c r="P19" s="8">
        <v>0.5</v>
      </c>
      <c r="Q19" s="8">
        <v>100</v>
      </c>
      <c r="R19" s="6">
        <v>18</v>
      </c>
      <c r="S19" s="10" t="s">
        <v>112</v>
      </c>
      <c r="T19" s="9" t="s">
        <v>113</v>
      </c>
      <c r="U19" s="9" t="s">
        <v>114</v>
      </c>
      <c r="V19" s="3">
        <v>4001</v>
      </c>
      <c r="W19" s="3">
        <v>1</v>
      </c>
      <c r="X19" s="3"/>
      <c r="Y19" s="3">
        <v>0</v>
      </c>
      <c r="Z19" s="3">
        <v>0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ht="13.9">
      <c r="A20" s="19">
        <v>301</v>
      </c>
      <c r="B20" s="9" t="s">
        <v>105</v>
      </c>
      <c r="C20" s="9" t="s">
        <v>136</v>
      </c>
      <c r="D20" s="9" t="s">
        <v>137</v>
      </c>
      <c r="E20" s="9" t="s">
        <v>138</v>
      </c>
      <c r="F20" s="5" t="s">
        <v>137</v>
      </c>
      <c r="G20" s="5" t="s">
        <v>139</v>
      </c>
      <c r="H20" s="6">
        <v>1</v>
      </c>
      <c r="I20" s="8">
        <v>120</v>
      </c>
      <c r="J20" s="8">
        <v>10</v>
      </c>
      <c r="K20" s="8">
        <v>1</v>
      </c>
      <c r="L20" s="8">
        <v>1</v>
      </c>
      <c r="M20" s="8">
        <v>0.5</v>
      </c>
      <c r="N20" s="8">
        <v>2</v>
      </c>
      <c r="O20" s="8">
        <v>100</v>
      </c>
      <c r="P20" s="8">
        <v>0.5</v>
      </c>
      <c r="Q20" s="8">
        <v>100</v>
      </c>
      <c r="R20" s="6">
        <v>18</v>
      </c>
      <c r="S20" s="10" t="s">
        <v>112</v>
      </c>
      <c r="T20" s="9" t="s">
        <v>341</v>
      </c>
      <c r="U20" s="9" t="s">
        <v>343</v>
      </c>
      <c r="V20" s="3">
        <v>4001</v>
      </c>
      <c r="W20" s="3">
        <v>1</v>
      </c>
      <c r="X20" s="3"/>
      <c r="Y20" s="3">
        <v>0</v>
      </c>
      <c r="Z20" s="3">
        <v>0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ht="13.9">
      <c r="A21" s="19">
        <v>302</v>
      </c>
      <c r="B21" s="9" t="s">
        <v>105</v>
      </c>
      <c r="C21" s="9" t="s">
        <v>140</v>
      </c>
      <c r="D21" s="9" t="s">
        <v>141</v>
      </c>
      <c r="E21" s="9" t="s">
        <v>142</v>
      </c>
      <c r="F21" s="5" t="s">
        <v>137</v>
      </c>
      <c r="G21" s="5" t="s">
        <v>139</v>
      </c>
      <c r="H21" s="6">
        <v>1</v>
      </c>
      <c r="I21" s="8">
        <v>160</v>
      </c>
      <c r="J21" s="8">
        <v>12</v>
      </c>
      <c r="K21" s="8">
        <v>1</v>
      </c>
      <c r="L21" s="8">
        <v>1</v>
      </c>
      <c r="M21" s="8">
        <v>0.5</v>
      </c>
      <c r="N21" s="8">
        <v>2</v>
      </c>
      <c r="O21" s="8">
        <v>100</v>
      </c>
      <c r="P21" s="8">
        <v>0.5</v>
      </c>
      <c r="Q21" s="8">
        <v>100</v>
      </c>
      <c r="R21" s="6">
        <v>18</v>
      </c>
      <c r="S21" s="10" t="s">
        <v>112</v>
      </c>
      <c r="T21" s="9" t="s">
        <v>342</v>
      </c>
      <c r="U21" s="9" t="s">
        <v>344</v>
      </c>
      <c r="V21" s="3">
        <v>4001</v>
      </c>
      <c r="W21" s="3">
        <v>1</v>
      </c>
      <c r="X21" s="3"/>
      <c r="Y21" s="3">
        <v>0</v>
      </c>
      <c r="Z21" s="3">
        <v>0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ht="16.899999999999999">
      <c r="A22" s="19">
        <v>401</v>
      </c>
      <c r="B22" s="9" t="s">
        <v>105</v>
      </c>
      <c r="C22" s="9" t="s">
        <v>143</v>
      </c>
      <c r="D22" s="9" t="s">
        <v>144</v>
      </c>
      <c r="E22" s="31" t="s">
        <v>375</v>
      </c>
      <c r="F22" s="5" t="s">
        <v>111</v>
      </c>
      <c r="G22" s="9" t="s">
        <v>82</v>
      </c>
      <c r="H22" s="6">
        <v>1</v>
      </c>
      <c r="I22" s="6">
        <f>I10*6</f>
        <v>120</v>
      </c>
      <c r="J22" s="6">
        <v>10</v>
      </c>
      <c r="K22" s="6">
        <v>5</v>
      </c>
      <c r="L22" s="6">
        <v>1</v>
      </c>
      <c r="M22" s="6">
        <v>1</v>
      </c>
      <c r="N22" s="6">
        <v>5</v>
      </c>
      <c r="O22" s="6">
        <v>100</v>
      </c>
      <c r="P22" s="8">
        <v>0.5</v>
      </c>
      <c r="Q22" s="6">
        <f t="shared" ref="Q22" si="0">Q10*6*6</f>
        <v>1800</v>
      </c>
      <c r="R22" s="6">
        <v>18</v>
      </c>
      <c r="S22" s="10" t="s">
        <v>76</v>
      </c>
      <c r="T22" s="8">
        <v>0</v>
      </c>
      <c r="U22" s="8">
        <v>0</v>
      </c>
      <c r="V22" s="3"/>
      <c r="W22" s="3"/>
      <c r="X22" s="3" t="s">
        <v>336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ht="13.9">
      <c r="A23" s="19">
        <v>402</v>
      </c>
      <c r="B23" s="9" t="s">
        <v>105</v>
      </c>
      <c r="C23" s="9" t="s">
        <v>146</v>
      </c>
      <c r="D23" s="9" t="s">
        <v>147</v>
      </c>
      <c r="E23" s="9" t="s">
        <v>145</v>
      </c>
      <c r="F23" s="5" t="s">
        <v>111</v>
      </c>
      <c r="G23" s="9" t="s">
        <v>82</v>
      </c>
      <c r="H23" s="6">
        <v>1</v>
      </c>
      <c r="I23" s="6">
        <f>I10*6</f>
        <v>120</v>
      </c>
      <c r="J23" s="6">
        <v>10</v>
      </c>
      <c r="K23" s="6">
        <v>5</v>
      </c>
      <c r="L23" s="6">
        <v>1</v>
      </c>
      <c r="M23" s="6">
        <v>1</v>
      </c>
      <c r="N23" s="6">
        <v>5</v>
      </c>
      <c r="O23" s="6">
        <v>100</v>
      </c>
      <c r="P23" s="8">
        <v>0.5</v>
      </c>
      <c r="Q23" s="6">
        <f t="shared" ref="Q23" si="1">Q10*6*6</f>
        <v>1800</v>
      </c>
      <c r="R23" s="6">
        <v>18</v>
      </c>
      <c r="S23" s="10" t="s">
        <v>76</v>
      </c>
      <c r="T23" s="8">
        <v>0</v>
      </c>
      <c r="U23" s="8">
        <v>0</v>
      </c>
      <c r="V23" s="3"/>
      <c r="W23" s="3"/>
      <c r="X23" s="3" t="s">
        <v>336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ht="13.9">
      <c r="A24" s="19">
        <v>403</v>
      </c>
      <c r="B24" s="9" t="s">
        <v>105</v>
      </c>
      <c r="C24" s="9" t="s">
        <v>148</v>
      </c>
      <c r="D24" s="9" t="s">
        <v>149</v>
      </c>
      <c r="E24" s="9" t="s">
        <v>150</v>
      </c>
      <c r="F24" s="5" t="s">
        <v>66</v>
      </c>
      <c r="G24" s="5" t="s">
        <v>151</v>
      </c>
      <c r="H24" s="6">
        <v>1</v>
      </c>
      <c r="I24" s="6">
        <v>220</v>
      </c>
      <c r="J24" s="6">
        <v>15</v>
      </c>
      <c r="K24" s="6">
        <v>5</v>
      </c>
      <c r="L24" s="6">
        <v>1</v>
      </c>
      <c r="M24" s="6">
        <v>1</v>
      </c>
      <c r="N24" s="6">
        <v>5</v>
      </c>
      <c r="O24" s="6">
        <v>100</v>
      </c>
      <c r="P24" s="8">
        <v>0.5</v>
      </c>
      <c r="Q24" s="6">
        <f t="shared" ref="Q24" si="2">Q10*6*6</f>
        <v>1800</v>
      </c>
      <c r="R24" s="6">
        <v>18</v>
      </c>
      <c r="S24" s="2"/>
      <c r="T24" s="8"/>
      <c r="U24" s="8"/>
      <c r="V24" s="3"/>
      <c r="W24" s="3"/>
      <c r="X24" s="3" t="s">
        <v>102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ht="13.9">
      <c r="A25" s="19">
        <v>404</v>
      </c>
      <c r="B25" s="9" t="s">
        <v>105</v>
      </c>
      <c r="C25" s="9" t="s">
        <v>153</v>
      </c>
      <c r="D25" s="9" t="s">
        <v>154</v>
      </c>
      <c r="E25" s="9" t="s">
        <v>155</v>
      </c>
      <c r="F25" s="5" t="s">
        <v>66</v>
      </c>
      <c r="G25" s="5" t="s">
        <v>151</v>
      </c>
      <c r="H25" s="6">
        <v>1</v>
      </c>
      <c r="I25" s="6">
        <f>I10*6</f>
        <v>120</v>
      </c>
      <c r="J25" s="6">
        <v>12</v>
      </c>
      <c r="K25" s="6">
        <v>5</v>
      </c>
      <c r="L25" s="6">
        <v>1</v>
      </c>
      <c r="M25" s="6">
        <v>1</v>
      </c>
      <c r="N25" s="6">
        <v>5</v>
      </c>
      <c r="O25" s="6">
        <v>100</v>
      </c>
      <c r="P25" s="8">
        <v>0.5</v>
      </c>
      <c r="Q25" s="6">
        <f t="shared" ref="Q25" si="3">Q10*6*4</f>
        <v>1200</v>
      </c>
      <c r="R25" s="6">
        <v>18</v>
      </c>
      <c r="S25" s="10"/>
      <c r="T25" s="8"/>
      <c r="U25" s="8"/>
      <c r="V25" s="3"/>
      <c r="W25" s="3"/>
      <c r="X25" s="3" t="s">
        <v>102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ht="13.9">
      <c r="A26" s="20">
        <v>501</v>
      </c>
      <c r="B26" s="1" t="s">
        <v>156</v>
      </c>
      <c r="C26" s="1" t="s">
        <v>373</v>
      </c>
      <c r="D26" s="1" t="s">
        <v>157</v>
      </c>
      <c r="E26" s="1" t="s">
        <v>373</v>
      </c>
      <c r="F26" s="5" t="s">
        <v>66</v>
      </c>
      <c r="G26" s="5" t="s">
        <v>82</v>
      </c>
      <c r="H26" s="6">
        <v>1</v>
      </c>
      <c r="I26" s="6">
        <v>200</v>
      </c>
      <c r="J26" s="6">
        <v>10</v>
      </c>
      <c r="K26" s="6">
        <v>6</v>
      </c>
      <c r="L26" s="6">
        <v>1.5</v>
      </c>
      <c r="M26" s="6">
        <v>3</v>
      </c>
      <c r="N26" s="6">
        <v>5</v>
      </c>
      <c r="O26" s="6">
        <v>100</v>
      </c>
      <c r="P26" s="8">
        <v>0.5</v>
      </c>
      <c r="Q26" s="6">
        <v>503</v>
      </c>
      <c r="R26" s="6">
        <v>5</v>
      </c>
      <c r="S26" s="2" t="s">
        <v>83</v>
      </c>
      <c r="T26" s="7" t="s">
        <v>84</v>
      </c>
      <c r="U26" s="7" t="s">
        <v>85</v>
      </c>
      <c r="V26" s="3">
        <v>4001</v>
      </c>
      <c r="W26" s="3">
        <v>1</v>
      </c>
      <c r="X26" s="3"/>
      <c r="Y26" s="3">
        <v>0</v>
      </c>
      <c r="Z26" s="3">
        <v>0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ht="13.9">
      <c r="A27" s="20">
        <v>502</v>
      </c>
      <c r="B27" s="9" t="s">
        <v>156</v>
      </c>
      <c r="C27" s="9" t="s">
        <v>158</v>
      </c>
      <c r="D27" s="9" t="s">
        <v>159</v>
      </c>
      <c r="E27" s="9" t="s">
        <v>160</v>
      </c>
      <c r="F27" s="5" t="s">
        <v>66</v>
      </c>
      <c r="G27" s="5" t="s">
        <v>90</v>
      </c>
      <c r="H27" s="6">
        <v>1</v>
      </c>
      <c r="I27" s="8">
        <v>200</v>
      </c>
      <c r="J27" s="8">
        <v>10</v>
      </c>
      <c r="K27" s="8">
        <v>6</v>
      </c>
      <c r="L27" s="8">
        <v>1.5</v>
      </c>
      <c r="M27" s="8">
        <v>3</v>
      </c>
      <c r="N27" s="8">
        <v>5</v>
      </c>
      <c r="O27" s="8">
        <v>100</v>
      </c>
      <c r="P27" s="8">
        <v>1.5</v>
      </c>
      <c r="Q27" s="8">
        <v>504</v>
      </c>
      <c r="R27" s="8">
        <v>5</v>
      </c>
      <c r="S27" s="10" t="s">
        <v>83</v>
      </c>
      <c r="T27" s="11" t="s">
        <v>84</v>
      </c>
      <c r="U27" s="11" t="s">
        <v>85</v>
      </c>
      <c r="V27" s="3">
        <v>4001</v>
      </c>
      <c r="W27" s="3">
        <v>1</v>
      </c>
      <c r="X27" s="3"/>
      <c r="Y27" s="3">
        <v>0</v>
      </c>
      <c r="Z27" s="3">
        <v>0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ht="13.9">
      <c r="A28" s="20">
        <v>503</v>
      </c>
      <c r="B28" s="9" t="s">
        <v>156</v>
      </c>
      <c r="C28" s="9" t="s">
        <v>161</v>
      </c>
      <c r="D28" s="9" t="s">
        <v>162</v>
      </c>
      <c r="E28" s="9" t="s">
        <v>163</v>
      </c>
      <c r="F28" s="5" t="s">
        <v>66</v>
      </c>
      <c r="G28" s="5" t="s">
        <v>82</v>
      </c>
      <c r="H28" s="6">
        <v>1</v>
      </c>
      <c r="I28" s="8">
        <v>1</v>
      </c>
      <c r="J28" s="8">
        <v>0</v>
      </c>
      <c r="K28" s="8">
        <v>0</v>
      </c>
      <c r="L28" s="8">
        <v>1</v>
      </c>
      <c r="M28" s="8">
        <v>1</v>
      </c>
      <c r="N28" s="8">
        <v>0</v>
      </c>
      <c r="O28" s="8">
        <v>1</v>
      </c>
      <c r="P28" s="8">
        <v>0</v>
      </c>
      <c r="Q28" s="8">
        <v>505</v>
      </c>
      <c r="R28" s="8">
        <v>0</v>
      </c>
      <c r="S28" s="10" t="s">
        <v>83</v>
      </c>
      <c r="T28" s="11" t="s">
        <v>84</v>
      </c>
      <c r="U28" s="11" t="s">
        <v>85</v>
      </c>
      <c r="V28" s="3">
        <v>4001</v>
      </c>
      <c r="W28" s="3">
        <v>1</v>
      </c>
      <c r="X28" s="3"/>
      <c r="Y28" s="3">
        <v>0</v>
      </c>
      <c r="Z28" s="3">
        <v>0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ht="13.9">
      <c r="A29" s="20">
        <v>504</v>
      </c>
      <c r="B29" s="9" t="s">
        <v>156</v>
      </c>
      <c r="C29" s="9" t="s">
        <v>164</v>
      </c>
      <c r="D29" s="9" t="s">
        <v>165</v>
      </c>
      <c r="E29" s="9" t="s">
        <v>166</v>
      </c>
      <c r="F29" s="5" t="s">
        <v>66</v>
      </c>
      <c r="G29" s="5" t="s">
        <v>90</v>
      </c>
      <c r="H29" s="6">
        <v>1</v>
      </c>
      <c r="I29" s="8">
        <v>200</v>
      </c>
      <c r="J29" s="8">
        <v>10</v>
      </c>
      <c r="K29" s="8">
        <v>6</v>
      </c>
      <c r="L29" s="8">
        <v>1.5</v>
      </c>
      <c r="M29" s="8">
        <v>3</v>
      </c>
      <c r="N29" s="8">
        <v>5</v>
      </c>
      <c r="O29" s="8">
        <v>100</v>
      </c>
      <c r="P29" s="8">
        <v>1.5</v>
      </c>
      <c r="Q29" s="8">
        <v>506</v>
      </c>
      <c r="R29" s="8">
        <v>5</v>
      </c>
      <c r="S29" s="10" t="s">
        <v>83</v>
      </c>
      <c r="T29" s="11" t="s">
        <v>84</v>
      </c>
      <c r="U29" s="11" t="s">
        <v>85</v>
      </c>
      <c r="V29" s="3">
        <v>4001</v>
      </c>
      <c r="W29" s="3">
        <v>1</v>
      </c>
      <c r="X29" s="3"/>
      <c r="Y29" s="3">
        <v>0</v>
      </c>
      <c r="Z29" s="3">
        <v>0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ht="13.9">
      <c r="A30" s="8">
        <v>505</v>
      </c>
      <c r="B30" s="9" t="s">
        <v>156</v>
      </c>
      <c r="C30" s="9" t="s">
        <v>167</v>
      </c>
      <c r="D30" s="9" t="s">
        <v>168</v>
      </c>
      <c r="E30" s="9" t="s">
        <v>169</v>
      </c>
      <c r="F30" s="9" t="s">
        <v>66</v>
      </c>
      <c r="G30" s="9" t="s">
        <v>82</v>
      </c>
      <c r="H30" s="6">
        <v>1</v>
      </c>
      <c r="I30" s="8">
        <v>50</v>
      </c>
      <c r="J30" s="8">
        <v>5</v>
      </c>
      <c r="K30" s="8">
        <v>5</v>
      </c>
      <c r="L30" s="8">
        <v>1</v>
      </c>
      <c r="M30" s="8">
        <v>1</v>
      </c>
      <c r="N30" s="8">
        <v>0</v>
      </c>
      <c r="O30" s="8">
        <v>100</v>
      </c>
      <c r="P30" s="8">
        <v>0</v>
      </c>
      <c r="Q30" s="8">
        <v>100</v>
      </c>
      <c r="R30" s="8">
        <v>3</v>
      </c>
      <c r="S30" s="10" t="s">
        <v>76</v>
      </c>
      <c r="T30" s="8">
        <v>3</v>
      </c>
      <c r="U30" s="8">
        <v>3</v>
      </c>
      <c r="V30" s="3">
        <v>4001</v>
      </c>
      <c r="W30" s="3">
        <v>1</v>
      </c>
      <c r="X30" s="3"/>
      <c r="Y30" s="3" t="s">
        <v>170</v>
      </c>
      <c r="Z30" s="3" t="s">
        <v>171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ht="13.9">
      <c r="A31" s="8">
        <v>506</v>
      </c>
      <c r="B31" s="9" t="s">
        <v>156</v>
      </c>
      <c r="C31" s="9" t="s">
        <v>172</v>
      </c>
      <c r="D31" s="9" t="s">
        <v>173</v>
      </c>
      <c r="E31" s="9" t="s">
        <v>174</v>
      </c>
      <c r="F31" s="9" t="s">
        <v>89</v>
      </c>
      <c r="G31" s="9" t="s">
        <v>90</v>
      </c>
      <c r="H31" s="6">
        <v>1</v>
      </c>
      <c r="I31" s="8">
        <v>60</v>
      </c>
      <c r="J31" s="8">
        <v>6</v>
      </c>
      <c r="K31" s="8">
        <v>5</v>
      </c>
      <c r="L31" s="8">
        <v>1</v>
      </c>
      <c r="M31" s="8">
        <v>1</v>
      </c>
      <c r="N31" s="8">
        <v>0</v>
      </c>
      <c r="O31" s="8">
        <v>100</v>
      </c>
      <c r="P31" s="8">
        <v>0</v>
      </c>
      <c r="Q31" s="8">
        <v>100</v>
      </c>
      <c r="R31" s="8">
        <v>3</v>
      </c>
      <c r="S31" s="10" t="s">
        <v>76</v>
      </c>
      <c r="T31" s="8">
        <v>3</v>
      </c>
      <c r="U31" s="8">
        <v>3</v>
      </c>
      <c r="V31" s="3">
        <v>4001</v>
      </c>
      <c r="W31" s="3">
        <v>1</v>
      </c>
      <c r="X31" s="3"/>
      <c r="Y31" s="3">
        <v>0</v>
      </c>
      <c r="Z31" s="3">
        <v>0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ht="13.9">
      <c r="A32" s="8">
        <v>507</v>
      </c>
      <c r="B32" s="9" t="s">
        <v>156</v>
      </c>
      <c r="C32" s="21" t="s">
        <v>175</v>
      </c>
      <c r="D32" s="9" t="s">
        <v>176</v>
      </c>
      <c r="E32" s="21" t="s">
        <v>177</v>
      </c>
      <c r="F32" s="9" t="s">
        <v>89</v>
      </c>
      <c r="G32" s="9" t="s">
        <v>90</v>
      </c>
      <c r="H32" s="6">
        <v>1</v>
      </c>
      <c r="I32" s="8">
        <v>200</v>
      </c>
      <c r="J32" s="8">
        <v>5</v>
      </c>
      <c r="K32" s="8">
        <v>5</v>
      </c>
      <c r="L32" s="8">
        <v>1</v>
      </c>
      <c r="M32" s="8">
        <v>1</v>
      </c>
      <c r="N32" s="8">
        <v>0</v>
      </c>
      <c r="O32" s="8">
        <v>100</v>
      </c>
      <c r="P32" s="8">
        <v>0</v>
      </c>
      <c r="Q32" s="8">
        <v>100</v>
      </c>
      <c r="R32" s="8">
        <v>3</v>
      </c>
      <c r="S32" s="10" t="s">
        <v>76</v>
      </c>
      <c r="T32" s="8">
        <v>3</v>
      </c>
      <c r="U32" s="8">
        <v>3</v>
      </c>
      <c r="V32" s="3">
        <v>4001</v>
      </c>
      <c r="W32" s="3">
        <v>1</v>
      </c>
      <c r="X32" s="3"/>
      <c r="Y32" s="3">
        <v>0</v>
      </c>
      <c r="Z32" s="3">
        <v>0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ht="13.9">
      <c r="A33" s="20">
        <v>508</v>
      </c>
      <c r="B33" s="9" t="s">
        <v>156</v>
      </c>
      <c r="C33" s="9" t="s">
        <v>178</v>
      </c>
      <c r="D33" s="9" t="s">
        <v>179</v>
      </c>
      <c r="E33" s="9" t="s">
        <v>180</v>
      </c>
      <c r="F33" s="5" t="s">
        <v>66</v>
      </c>
      <c r="G33" s="5" t="s">
        <v>90</v>
      </c>
      <c r="H33" s="6">
        <v>1</v>
      </c>
      <c r="I33" s="8">
        <v>300</v>
      </c>
      <c r="J33" s="8">
        <v>15</v>
      </c>
      <c r="K33" s="8">
        <v>10</v>
      </c>
      <c r="L33" s="8">
        <v>1</v>
      </c>
      <c r="M33" s="8">
        <v>1</v>
      </c>
      <c r="N33" s="8">
        <v>5</v>
      </c>
      <c r="O33" s="8">
        <v>100</v>
      </c>
      <c r="P33" s="8">
        <v>1</v>
      </c>
      <c r="Q33" s="8">
        <v>500</v>
      </c>
      <c r="R33" s="8">
        <v>5</v>
      </c>
      <c r="S33" s="10" t="s">
        <v>83</v>
      </c>
      <c r="T33" s="11" t="s">
        <v>181</v>
      </c>
      <c r="U33" s="11" t="s">
        <v>85</v>
      </c>
      <c r="V33" s="3">
        <v>4001</v>
      </c>
      <c r="W33" s="3">
        <v>1</v>
      </c>
      <c r="X33" s="3"/>
      <c r="Y33" s="3">
        <v>0</v>
      </c>
      <c r="Z33" s="3">
        <v>0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ht="13.9">
      <c r="A34" s="3">
        <v>509</v>
      </c>
      <c r="B34" s="3" t="s">
        <v>156</v>
      </c>
      <c r="C34" s="3" t="s">
        <v>182</v>
      </c>
      <c r="D34" s="3" t="s">
        <v>183</v>
      </c>
      <c r="E34" s="3" t="s">
        <v>184</v>
      </c>
      <c r="F34" s="3" t="s">
        <v>66</v>
      </c>
      <c r="G34" s="3" t="s">
        <v>82</v>
      </c>
      <c r="H34" s="6">
        <v>1</v>
      </c>
      <c r="I34" s="3">
        <v>100</v>
      </c>
      <c r="J34" s="3">
        <v>5</v>
      </c>
      <c r="K34" s="3">
        <v>5</v>
      </c>
      <c r="L34" s="3">
        <v>1</v>
      </c>
      <c r="M34" s="3">
        <v>1</v>
      </c>
      <c r="N34" s="3">
        <v>2</v>
      </c>
      <c r="O34" s="3">
        <v>100</v>
      </c>
      <c r="P34" s="3">
        <v>0</v>
      </c>
      <c r="Q34" s="3">
        <v>100</v>
      </c>
      <c r="R34" s="3">
        <v>5</v>
      </c>
      <c r="S34" s="22" t="s">
        <v>76</v>
      </c>
      <c r="T34" s="3">
        <v>3</v>
      </c>
      <c r="U34" s="3">
        <v>3</v>
      </c>
      <c r="V34" s="3">
        <v>4001</v>
      </c>
      <c r="W34" s="3">
        <v>1</v>
      </c>
      <c r="X34" s="3"/>
      <c r="Y34" s="3">
        <v>0</v>
      </c>
      <c r="Z34" s="3">
        <v>0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ht="13.9">
      <c r="A35" s="3">
        <v>510</v>
      </c>
      <c r="B35" s="3" t="s">
        <v>156</v>
      </c>
      <c r="C35" s="3" t="s">
        <v>185</v>
      </c>
      <c r="D35" s="3" t="s">
        <v>186</v>
      </c>
      <c r="E35" s="3" t="s">
        <v>187</v>
      </c>
      <c r="F35" s="3" t="s">
        <v>66</v>
      </c>
      <c r="G35" s="3" t="s">
        <v>82</v>
      </c>
      <c r="H35" s="6">
        <v>1</v>
      </c>
      <c r="I35" s="3">
        <v>150</v>
      </c>
      <c r="J35" s="3">
        <v>8</v>
      </c>
      <c r="K35" s="3">
        <v>5</v>
      </c>
      <c r="L35" s="3">
        <v>1</v>
      </c>
      <c r="M35" s="3">
        <v>1</v>
      </c>
      <c r="N35" s="3">
        <v>2</v>
      </c>
      <c r="O35" s="3">
        <v>100</v>
      </c>
      <c r="P35" s="3">
        <v>0</v>
      </c>
      <c r="Q35" s="3">
        <v>100</v>
      </c>
      <c r="R35" s="3">
        <v>5</v>
      </c>
      <c r="S35" s="22" t="s">
        <v>76</v>
      </c>
      <c r="T35" s="3">
        <v>3</v>
      </c>
      <c r="U35" s="3">
        <v>3</v>
      </c>
      <c r="V35" s="3">
        <v>4001</v>
      </c>
      <c r="W35" s="3">
        <v>1</v>
      </c>
      <c r="X35" s="3"/>
      <c r="Y35" s="3">
        <v>0</v>
      </c>
      <c r="Z35" s="3">
        <v>0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ht="13.9">
      <c r="A36" s="3">
        <v>511</v>
      </c>
      <c r="B36" s="3" t="s">
        <v>156</v>
      </c>
      <c r="C36" s="22" t="s">
        <v>188</v>
      </c>
      <c r="D36" s="9" t="s">
        <v>189</v>
      </c>
      <c r="E36" s="3" t="s">
        <v>190</v>
      </c>
      <c r="F36" s="5" t="s">
        <v>66</v>
      </c>
      <c r="G36" s="5" t="s">
        <v>90</v>
      </c>
      <c r="H36" s="6">
        <v>1</v>
      </c>
      <c r="I36" s="8">
        <v>200</v>
      </c>
      <c r="J36" s="8">
        <v>10</v>
      </c>
      <c r="K36" s="8">
        <v>6</v>
      </c>
      <c r="L36" s="8">
        <v>1.5</v>
      </c>
      <c r="M36" s="8">
        <v>3</v>
      </c>
      <c r="N36" s="8">
        <v>5</v>
      </c>
      <c r="O36" s="8">
        <v>100</v>
      </c>
      <c r="P36" s="8">
        <v>1.5</v>
      </c>
      <c r="Q36" s="8">
        <v>504</v>
      </c>
      <c r="R36" s="8">
        <v>5</v>
      </c>
      <c r="S36" s="10" t="s">
        <v>83</v>
      </c>
      <c r="T36" s="11" t="s">
        <v>84</v>
      </c>
      <c r="U36" s="11" t="s">
        <v>85</v>
      </c>
      <c r="V36" s="3">
        <v>4001</v>
      </c>
      <c r="W36" s="3">
        <v>1</v>
      </c>
      <c r="X36" s="3"/>
      <c r="Y36" s="3">
        <v>0</v>
      </c>
      <c r="Z36" s="3">
        <v>0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ht="13.9">
      <c r="A37" s="3">
        <v>512</v>
      </c>
      <c r="B37" s="3" t="s">
        <v>156</v>
      </c>
      <c r="C37" s="22" t="s">
        <v>191</v>
      </c>
      <c r="D37" s="9" t="s">
        <v>192</v>
      </c>
      <c r="E37" s="3" t="s">
        <v>193</v>
      </c>
      <c r="F37" s="5" t="s">
        <v>66</v>
      </c>
      <c r="G37" s="5" t="s">
        <v>82</v>
      </c>
      <c r="H37" s="6">
        <v>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5000</v>
      </c>
      <c r="R37" s="8">
        <v>0</v>
      </c>
      <c r="S37" s="10" t="s">
        <v>76</v>
      </c>
      <c r="T37" s="11" t="s">
        <v>194</v>
      </c>
      <c r="U37" s="11" t="s">
        <v>194</v>
      </c>
      <c r="V37" s="3">
        <v>0</v>
      </c>
      <c r="W37" s="3">
        <v>0</v>
      </c>
      <c r="X37" s="3" t="s">
        <v>102</v>
      </c>
      <c r="Y37" s="3">
        <v>0</v>
      </c>
      <c r="Z37" s="3">
        <v>0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ht="13.9">
      <c r="A38" s="20">
        <v>513</v>
      </c>
      <c r="B38" s="1" t="s">
        <v>156</v>
      </c>
      <c r="C38" s="1" t="s">
        <v>337</v>
      </c>
      <c r="D38" s="1" t="s">
        <v>338</v>
      </c>
      <c r="E38" s="1" t="s">
        <v>339</v>
      </c>
      <c r="F38" s="5" t="s">
        <v>66</v>
      </c>
      <c r="G38" s="5" t="s">
        <v>82</v>
      </c>
      <c r="H38" s="6">
        <v>1</v>
      </c>
      <c r="I38" s="6">
        <v>200</v>
      </c>
      <c r="J38" s="6">
        <v>10</v>
      </c>
      <c r="K38" s="6">
        <v>6</v>
      </c>
      <c r="L38" s="6">
        <v>1.5</v>
      </c>
      <c r="M38" s="6">
        <v>3</v>
      </c>
      <c r="N38" s="6">
        <v>5</v>
      </c>
      <c r="O38" s="6">
        <v>100</v>
      </c>
      <c r="P38" s="6">
        <v>1.5</v>
      </c>
      <c r="Q38" s="6">
        <v>503</v>
      </c>
      <c r="R38" s="6">
        <v>5</v>
      </c>
      <c r="S38" s="2" t="s">
        <v>83</v>
      </c>
      <c r="T38" s="7" t="s">
        <v>84</v>
      </c>
      <c r="U38" s="7" t="s">
        <v>85</v>
      </c>
      <c r="V38" s="3">
        <v>4001</v>
      </c>
      <c r="W38" s="3">
        <v>1</v>
      </c>
      <c r="X38" s="3"/>
      <c r="Y38" s="3">
        <v>0</v>
      </c>
      <c r="Z38" s="3">
        <v>0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ht="13.5">
      <c r="A39" s="28">
        <v>514</v>
      </c>
      <c r="B39" s="29" t="s">
        <v>156</v>
      </c>
      <c r="C39" s="29" t="s">
        <v>345</v>
      </c>
      <c r="D39" s="29" t="s">
        <v>346</v>
      </c>
      <c r="E39" s="29" t="s">
        <v>347</v>
      </c>
      <c r="F39" s="29" t="s">
        <v>66</v>
      </c>
      <c r="G39" s="29" t="s">
        <v>82</v>
      </c>
      <c r="H39" s="28">
        <v>1</v>
      </c>
      <c r="I39" s="28">
        <v>200</v>
      </c>
      <c r="J39" s="28">
        <v>10</v>
      </c>
      <c r="K39" s="28">
        <v>6</v>
      </c>
      <c r="L39" s="28">
        <v>1.5</v>
      </c>
      <c r="M39" s="28">
        <v>3</v>
      </c>
      <c r="N39" s="28">
        <v>5</v>
      </c>
      <c r="O39" s="28">
        <v>100</v>
      </c>
      <c r="P39" s="28">
        <v>1.5</v>
      </c>
      <c r="Q39" s="28">
        <v>503</v>
      </c>
      <c r="R39" s="28">
        <v>5</v>
      </c>
      <c r="S39" s="29" t="s">
        <v>83</v>
      </c>
      <c r="T39" s="29" t="s">
        <v>84</v>
      </c>
      <c r="U39" s="29" t="s">
        <v>85</v>
      </c>
      <c r="V39" s="28">
        <v>4001</v>
      </c>
      <c r="W39" s="28">
        <v>1</v>
      </c>
      <c r="X39" s="29" t="s">
        <v>102</v>
      </c>
      <c r="Y39" s="28">
        <v>0</v>
      </c>
      <c r="Z39" s="28">
        <v>0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ht="13.9">
      <c r="A40" s="20">
        <v>601</v>
      </c>
      <c r="B40" s="9" t="s">
        <v>156</v>
      </c>
      <c r="C40" s="23" t="s">
        <v>195</v>
      </c>
      <c r="D40" s="24" t="s">
        <v>196</v>
      </c>
      <c r="E40" s="9" t="s">
        <v>197</v>
      </c>
      <c r="F40" s="5" t="s">
        <v>137</v>
      </c>
      <c r="G40" s="5" t="s">
        <v>139</v>
      </c>
      <c r="H40" s="6">
        <v>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10"/>
      <c r="T40" s="11"/>
      <c r="U40" s="11"/>
      <c r="V40" s="3">
        <v>4001</v>
      </c>
      <c r="W40" s="3">
        <v>1</v>
      </c>
      <c r="X40" s="3"/>
      <c r="Y40" s="3">
        <v>0</v>
      </c>
      <c r="Z40" s="3">
        <v>0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ht="13.9">
      <c r="A41" s="20">
        <v>602</v>
      </c>
      <c r="B41" s="9" t="s">
        <v>156</v>
      </c>
      <c r="C41" s="9" t="s">
        <v>198</v>
      </c>
      <c r="D41" s="9" t="s">
        <v>199</v>
      </c>
      <c r="E41" s="9" t="s">
        <v>200</v>
      </c>
      <c r="F41" s="5" t="s">
        <v>66</v>
      </c>
      <c r="G41" s="5" t="s">
        <v>139</v>
      </c>
      <c r="H41" s="6">
        <v>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10"/>
      <c r="T41" s="11"/>
      <c r="U41" s="11"/>
      <c r="V41" s="3">
        <v>4001</v>
      </c>
      <c r="W41" s="3">
        <v>1</v>
      </c>
      <c r="X41" s="3"/>
      <c r="Y41" s="3">
        <v>0</v>
      </c>
      <c r="Z41" s="3">
        <v>0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ht="13.9">
      <c r="A42" s="20">
        <v>603</v>
      </c>
      <c r="B42" s="9" t="s">
        <v>156</v>
      </c>
      <c r="C42" s="9" t="s">
        <v>201</v>
      </c>
      <c r="D42" s="9" t="s">
        <v>202</v>
      </c>
      <c r="E42" s="9" t="s">
        <v>203</v>
      </c>
      <c r="F42" s="5" t="s">
        <v>66</v>
      </c>
      <c r="G42" s="5" t="s">
        <v>139</v>
      </c>
      <c r="H42" s="6">
        <v>1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10"/>
      <c r="T42" s="11"/>
      <c r="U42" s="11"/>
      <c r="V42" s="3">
        <v>4001</v>
      </c>
      <c r="W42" s="3">
        <v>1</v>
      </c>
      <c r="X42" s="3"/>
      <c r="Y42" s="3">
        <v>0</v>
      </c>
      <c r="Z42" s="3">
        <v>0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ht="13.9">
      <c r="A43" s="20">
        <v>604</v>
      </c>
      <c r="B43" s="9" t="s">
        <v>156</v>
      </c>
      <c r="C43" s="9" t="s">
        <v>204</v>
      </c>
      <c r="D43" s="9" t="s">
        <v>205</v>
      </c>
      <c r="E43" s="9" t="s">
        <v>204</v>
      </c>
      <c r="F43" s="5" t="s">
        <v>66</v>
      </c>
      <c r="G43" s="3" t="s">
        <v>82</v>
      </c>
      <c r="H43" s="6">
        <v>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10"/>
      <c r="T43" s="11"/>
      <c r="U43" s="11"/>
      <c r="V43" s="3">
        <v>4001</v>
      </c>
      <c r="W43" s="3">
        <v>1</v>
      </c>
      <c r="X43" s="3"/>
      <c r="Y43" s="3">
        <v>0</v>
      </c>
      <c r="Z43" s="3">
        <v>0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ht="13.9">
      <c r="A44" s="20">
        <v>605</v>
      </c>
      <c r="B44" s="9" t="s">
        <v>156</v>
      </c>
      <c r="C44" s="9" t="s">
        <v>206</v>
      </c>
      <c r="D44" s="9" t="s">
        <v>207</v>
      </c>
      <c r="E44" s="9" t="s">
        <v>208</v>
      </c>
      <c r="F44" s="5" t="s">
        <v>66</v>
      </c>
      <c r="G44" s="3" t="s">
        <v>82</v>
      </c>
      <c r="H44" s="6">
        <v>1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10"/>
      <c r="T44" s="11"/>
      <c r="U44" s="11"/>
      <c r="V44" s="3">
        <v>4001</v>
      </c>
      <c r="W44" s="3">
        <v>1</v>
      </c>
      <c r="X44" s="3"/>
      <c r="Y44" s="3">
        <v>0</v>
      </c>
      <c r="Z44" s="3">
        <v>0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ht="13.9">
      <c r="A45" s="20">
        <v>606</v>
      </c>
      <c r="B45" s="9" t="s">
        <v>156</v>
      </c>
      <c r="C45" s="9" t="s">
        <v>209</v>
      </c>
      <c r="D45" s="9" t="s">
        <v>210</v>
      </c>
      <c r="E45" s="9" t="s">
        <v>211</v>
      </c>
      <c r="F45" s="5" t="s">
        <v>66</v>
      </c>
      <c r="G45" s="3" t="s">
        <v>82</v>
      </c>
      <c r="H45" s="6">
        <v>1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10"/>
      <c r="T45" s="11"/>
      <c r="U45" s="11"/>
      <c r="V45" s="3">
        <v>4001</v>
      </c>
      <c r="W45" s="3">
        <v>1</v>
      </c>
      <c r="X45" s="3"/>
      <c r="Y45" s="3">
        <v>0</v>
      </c>
      <c r="Z45" s="3">
        <v>0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ht="13.9">
      <c r="A46" s="20">
        <v>607</v>
      </c>
      <c r="B46" s="9" t="s">
        <v>156</v>
      </c>
      <c r="C46" s="9" t="s">
        <v>212</v>
      </c>
      <c r="D46" s="25" t="s">
        <v>213</v>
      </c>
      <c r="E46" s="9" t="s">
        <v>214</v>
      </c>
      <c r="F46" s="5" t="s">
        <v>66</v>
      </c>
      <c r="G46" s="3" t="s">
        <v>82</v>
      </c>
      <c r="H46" s="6">
        <v>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10"/>
      <c r="T46" s="11"/>
      <c r="U46" s="11"/>
      <c r="V46" s="3">
        <v>4001</v>
      </c>
      <c r="W46" s="3">
        <v>1</v>
      </c>
      <c r="X46" s="3"/>
      <c r="Y46" s="3">
        <v>0</v>
      </c>
      <c r="Z46" s="3">
        <v>0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ht="13.9">
      <c r="A47" s="3">
        <v>801</v>
      </c>
      <c r="B47" s="3" t="s">
        <v>156</v>
      </c>
      <c r="C47" s="3" t="s">
        <v>215</v>
      </c>
      <c r="D47" s="3" t="s">
        <v>216</v>
      </c>
      <c r="E47" s="3" t="s">
        <v>217</v>
      </c>
      <c r="F47" s="5" t="s">
        <v>66</v>
      </c>
      <c r="G47" s="3" t="s">
        <v>82</v>
      </c>
      <c r="H47" s="6">
        <v>1</v>
      </c>
      <c r="I47" s="3">
        <f t="shared" ref="I47:R47" si="4">I10*6*$H$47</f>
        <v>120</v>
      </c>
      <c r="J47" s="3">
        <f t="shared" si="4"/>
        <v>18</v>
      </c>
      <c r="K47" s="3">
        <f t="shared" si="4"/>
        <v>6</v>
      </c>
      <c r="L47" s="3">
        <f t="shared" si="4"/>
        <v>0.60000000000000009</v>
      </c>
      <c r="M47" s="3">
        <f t="shared" si="4"/>
        <v>0.60000000000000009</v>
      </c>
      <c r="N47" s="3">
        <f t="shared" si="4"/>
        <v>3</v>
      </c>
      <c r="O47" s="3">
        <f t="shared" si="4"/>
        <v>1.2000000000000002</v>
      </c>
      <c r="P47" s="3">
        <f t="shared" si="4"/>
        <v>1.2000000000000002</v>
      </c>
      <c r="Q47" s="3">
        <f t="shared" si="4"/>
        <v>300</v>
      </c>
      <c r="R47" s="3">
        <f t="shared" si="4"/>
        <v>6</v>
      </c>
      <c r="S47" s="22" t="s">
        <v>76</v>
      </c>
      <c r="T47" s="3">
        <v>0</v>
      </c>
      <c r="U47" s="3">
        <v>0</v>
      </c>
      <c r="V47" s="3"/>
      <c r="W47" s="3"/>
      <c r="X47" s="3" t="s">
        <v>102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ht="13.9">
      <c r="A48" s="3">
        <v>802</v>
      </c>
      <c r="B48" s="3" t="s">
        <v>156</v>
      </c>
      <c r="C48" s="3" t="s">
        <v>218</v>
      </c>
      <c r="D48" s="3" t="s">
        <v>219</v>
      </c>
      <c r="E48" s="3" t="s">
        <v>220</v>
      </c>
      <c r="F48" s="5" t="s">
        <v>66</v>
      </c>
      <c r="G48" s="3" t="s">
        <v>82</v>
      </c>
      <c r="H48" s="6">
        <v>15</v>
      </c>
      <c r="I48" s="3">
        <f t="shared" ref="I48:R48" si="5">I10*6*$H$48</f>
        <v>1800</v>
      </c>
      <c r="J48" s="3">
        <f t="shared" si="5"/>
        <v>270</v>
      </c>
      <c r="K48" s="3">
        <f t="shared" si="5"/>
        <v>90</v>
      </c>
      <c r="L48" s="3">
        <f t="shared" si="5"/>
        <v>9.0000000000000018</v>
      </c>
      <c r="M48" s="3">
        <f t="shared" si="5"/>
        <v>9.0000000000000018</v>
      </c>
      <c r="N48" s="3">
        <f t="shared" si="5"/>
        <v>45</v>
      </c>
      <c r="O48" s="3">
        <f t="shared" si="5"/>
        <v>18.000000000000004</v>
      </c>
      <c r="P48" s="3">
        <f t="shared" si="5"/>
        <v>18.000000000000004</v>
      </c>
      <c r="Q48" s="3">
        <f t="shared" si="5"/>
        <v>4500</v>
      </c>
      <c r="R48" s="3">
        <f t="shared" si="5"/>
        <v>90</v>
      </c>
      <c r="S48" s="22" t="s">
        <v>221</v>
      </c>
      <c r="T48" s="3">
        <v>5</v>
      </c>
      <c r="U48" s="3">
        <v>1.2</v>
      </c>
      <c r="V48" s="3"/>
      <c r="W48" s="3"/>
      <c r="X48" s="3" t="s">
        <v>102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ht="13.9">
      <c r="A49" s="3">
        <v>803</v>
      </c>
      <c r="B49" s="3" t="s">
        <v>156</v>
      </c>
      <c r="C49" s="3" t="s">
        <v>222</v>
      </c>
      <c r="D49" s="3" t="s">
        <v>223</v>
      </c>
      <c r="E49" s="3" t="s">
        <v>224</v>
      </c>
      <c r="F49" s="5" t="s">
        <v>66</v>
      </c>
      <c r="G49" s="3" t="s">
        <v>82</v>
      </c>
      <c r="H49" s="6">
        <v>1</v>
      </c>
      <c r="I49" s="3">
        <f t="shared" ref="I49:R49" si="6">I10*6*$H$49</f>
        <v>120</v>
      </c>
      <c r="J49" s="3">
        <f t="shared" si="6"/>
        <v>18</v>
      </c>
      <c r="K49" s="3">
        <f t="shared" si="6"/>
        <v>6</v>
      </c>
      <c r="L49" s="3">
        <f t="shared" si="6"/>
        <v>0.60000000000000009</v>
      </c>
      <c r="M49" s="3">
        <f t="shared" si="6"/>
        <v>0.60000000000000009</v>
      </c>
      <c r="N49" s="3">
        <f t="shared" si="6"/>
        <v>3</v>
      </c>
      <c r="O49" s="3">
        <f t="shared" si="6"/>
        <v>1.2000000000000002</v>
      </c>
      <c r="P49" s="3">
        <f t="shared" si="6"/>
        <v>1.2000000000000002</v>
      </c>
      <c r="Q49" s="3">
        <f t="shared" si="6"/>
        <v>300</v>
      </c>
      <c r="R49" s="3">
        <f t="shared" si="6"/>
        <v>6</v>
      </c>
      <c r="S49" s="22" t="s">
        <v>76</v>
      </c>
      <c r="T49" s="3">
        <v>0</v>
      </c>
      <c r="U49" s="3">
        <v>0</v>
      </c>
      <c r="V49" s="3"/>
      <c r="W49" s="3"/>
      <c r="X49" s="3" t="s">
        <v>102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ht="13.9">
      <c r="A50" s="3">
        <v>804</v>
      </c>
      <c r="B50" s="3" t="s">
        <v>156</v>
      </c>
      <c r="C50" s="3" t="s">
        <v>225</v>
      </c>
      <c r="D50" s="3" t="s">
        <v>226</v>
      </c>
      <c r="E50" s="3" t="s">
        <v>227</v>
      </c>
      <c r="F50" s="5" t="s">
        <v>66</v>
      </c>
      <c r="G50" s="3" t="s">
        <v>82</v>
      </c>
      <c r="H50" s="6">
        <v>3</v>
      </c>
      <c r="I50" s="3">
        <f>I$10*6*$H50</f>
        <v>360</v>
      </c>
      <c r="J50" s="3">
        <f t="shared" ref="J50:R50" si="7">J10*6*$H$50</f>
        <v>54</v>
      </c>
      <c r="K50" s="3">
        <f t="shared" si="7"/>
        <v>18</v>
      </c>
      <c r="L50" s="3">
        <f t="shared" si="7"/>
        <v>1.8000000000000003</v>
      </c>
      <c r="M50" s="3">
        <f t="shared" si="7"/>
        <v>1.8000000000000003</v>
      </c>
      <c r="N50" s="3">
        <f t="shared" si="7"/>
        <v>9</v>
      </c>
      <c r="O50" s="3">
        <f t="shared" si="7"/>
        <v>3.6000000000000005</v>
      </c>
      <c r="P50" s="3">
        <f t="shared" si="7"/>
        <v>3.6000000000000005</v>
      </c>
      <c r="Q50" s="3">
        <f t="shared" si="7"/>
        <v>900</v>
      </c>
      <c r="R50" s="3">
        <f t="shared" si="7"/>
        <v>18</v>
      </c>
      <c r="S50" s="22" t="s">
        <v>221</v>
      </c>
      <c r="T50" s="3">
        <v>5</v>
      </c>
      <c r="U50" s="3">
        <v>1.2</v>
      </c>
      <c r="V50" s="3"/>
      <c r="W50" s="3"/>
      <c r="X50" s="3" t="s">
        <v>102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ht="13.9">
      <c r="A51" s="3">
        <v>805</v>
      </c>
      <c r="B51" s="3" t="s">
        <v>156</v>
      </c>
      <c r="C51" s="3" t="s">
        <v>228</v>
      </c>
      <c r="D51" s="3" t="s">
        <v>229</v>
      </c>
      <c r="E51" s="3" t="s">
        <v>230</v>
      </c>
      <c r="F51" s="5" t="s">
        <v>66</v>
      </c>
      <c r="G51" s="3" t="s">
        <v>82</v>
      </c>
      <c r="H51" s="6">
        <v>12</v>
      </c>
      <c r="I51">
        <v>1440</v>
      </c>
      <c r="J51" s="3">
        <f t="shared" ref="J51:R60" si="8">J$10*6*$H51</f>
        <v>216</v>
      </c>
      <c r="K51" s="3">
        <f t="shared" si="8"/>
        <v>72</v>
      </c>
      <c r="L51" s="3">
        <f t="shared" si="8"/>
        <v>7.2000000000000011</v>
      </c>
      <c r="M51" s="3">
        <f t="shared" si="8"/>
        <v>7.2000000000000011</v>
      </c>
      <c r="N51" s="3">
        <f t="shared" si="8"/>
        <v>36</v>
      </c>
      <c r="O51" s="3">
        <f t="shared" si="8"/>
        <v>14.400000000000002</v>
      </c>
      <c r="P51" s="3">
        <f t="shared" si="8"/>
        <v>14.400000000000002</v>
      </c>
      <c r="Q51" s="3">
        <f t="shared" si="8"/>
        <v>3600</v>
      </c>
      <c r="R51" s="3">
        <f t="shared" si="8"/>
        <v>72</v>
      </c>
      <c r="S51" s="22" t="s">
        <v>231</v>
      </c>
      <c r="T51" s="3" t="s">
        <v>232</v>
      </c>
      <c r="U51" s="3" t="s">
        <v>101</v>
      </c>
      <c r="V51" s="3"/>
      <c r="W51" s="3"/>
      <c r="X51" s="3" t="s">
        <v>102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ht="13.9">
      <c r="A52" s="3">
        <v>806</v>
      </c>
      <c r="B52" s="3" t="s">
        <v>156</v>
      </c>
      <c r="C52" s="3" t="s">
        <v>233</v>
      </c>
      <c r="D52" s="3" t="s">
        <v>234</v>
      </c>
      <c r="E52" s="3" t="s">
        <v>235</v>
      </c>
      <c r="F52" s="5" t="s">
        <v>66</v>
      </c>
      <c r="G52" s="3" t="s">
        <v>82</v>
      </c>
      <c r="H52" s="6">
        <v>6</v>
      </c>
      <c r="I52">
        <v>720</v>
      </c>
      <c r="J52" s="3">
        <f t="shared" si="8"/>
        <v>108</v>
      </c>
      <c r="K52" s="3">
        <f t="shared" si="8"/>
        <v>36</v>
      </c>
      <c r="L52" s="3">
        <f t="shared" si="8"/>
        <v>3.6000000000000005</v>
      </c>
      <c r="M52" s="3">
        <f t="shared" si="8"/>
        <v>3.6000000000000005</v>
      </c>
      <c r="N52" s="3">
        <f t="shared" si="8"/>
        <v>18</v>
      </c>
      <c r="O52" s="3">
        <f t="shared" si="8"/>
        <v>7.2000000000000011</v>
      </c>
      <c r="P52" s="3">
        <f t="shared" si="8"/>
        <v>7.2000000000000011</v>
      </c>
      <c r="Q52" s="3">
        <f t="shared" si="8"/>
        <v>1800</v>
      </c>
      <c r="R52" s="3">
        <f t="shared" si="8"/>
        <v>36</v>
      </c>
      <c r="S52" s="22" t="s">
        <v>76</v>
      </c>
      <c r="T52" s="3">
        <v>0</v>
      </c>
      <c r="U52" s="3">
        <v>0</v>
      </c>
      <c r="V52" s="3"/>
      <c r="W52" s="3"/>
      <c r="X52" s="3" t="s">
        <v>102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ht="13.9">
      <c r="A53" s="3">
        <v>807</v>
      </c>
      <c r="B53" s="3" t="s">
        <v>156</v>
      </c>
      <c r="C53" s="3" t="s">
        <v>236</v>
      </c>
      <c r="D53" s="3" t="s">
        <v>237</v>
      </c>
      <c r="E53" s="3" t="s">
        <v>238</v>
      </c>
      <c r="F53" s="5" t="s">
        <v>66</v>
      </c>
      <c r="G53" s="3" t="s">
        <v>82</v>
      </c>
      <c r="H53" s="6">
        <v>35</v>
      </c>
      <c r="I53">
        <v>4200</v>
      </c>
      <c r="J53" s="3">
        <f t="shared" si="8"/>
        <v>630</v>
      </c>
      <c r="K53" s="3">
        <f t="shared" si="8"/>
        <v>210</v>
      </c>
      <c r="L53" s="3">
        <f t="shared" si="8"/>
        <v>21.000000000000004</v>
      </c>
      <c r="M53" s="3">
        <f t="shared" si="8"/>
        <v>21.000000000000004</v>
      </c>
      <c r="N53" s="3">
        <f t="shared" si="8"/>
        <v>105</v>
      </c>
      <c r="O53" s="3">
        <f t="shared" si="8"/>
        <v>42.000000000000007</v>
      </c>
      <c r="P53" s="3">
        <f t="shared" si="8"/>
        <v>42.000000000000007</v>
      </c>
      <c r="Q53" s="3">
        <f t="shared" si="8"/>
        <v>10500</v>
      </c>
      <c r="R53" s="3">
        <f t="shared" si="8"/>
        <v>210</v>
      </c>
      <c r="S53" s="22" t="s">
        <v>231</v>
      </c>
      <c r="T53" s="3" t="s">
        <v>239</v>
      </c>
      <c r="U53" s="3" t="s">
        <v>240</v>
      </c>
      <c r="V53" s="3"/>
      <c r="W53" s="3"/>
      <c r="X53" s="3" t="s">
        <v>102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ht="13.9">
      <c r="A54" s="3">
        <v>808</v>
      </c>
      <c r="B54" s="3" t="s">
        <v>156</v>
      </c>
      <c r="C54" s="3" t="s">
        <v>241</v>
      </c>
      <c r="D54" s="3" t="s">
        <v>242</v>
      </c>
      <c r="E54" s="3" t="s">
        <v>243</v>
      </c>
      <c r="F54" s="5" t="s">
        <v>66</v>
      </c>
      <c r="G54" s="3" t="s">
        <v>244</v>
      </c>
      <c r="H54" s="6">
        <v>6</v>
      </c>
      <c r="I54">
        <v>720</v>
      </c>
      <c r="J54" s="3">
        <f t="shared" si="8"/>
        <v>108</v>
      </c>
      <c r="K54" s="3">
        <f t="shared" si="8"/>
        <v>36</v>
      </c>
      <c r="L54" s="3">
        <f t="shared" si="8"/>
        <v>3.6000000000000005</v>
      </c>
      <c r="M54" s="3">
        <f t="shared" si="8"/>
        <v>3.6000000000000005</v>
      </c>
      <c r="N54" s="3">
        <f t="shared" si="8"/>
        <v>18</v>
      </c>
      <c r="O54" s="3">
        <f t="shared" si="8"/>
        <v>7.2000000000000011</v>
      </c>
      <c r="P54" s="3">
        <f t="shared" si="8"/>
        <v>7.2000000000000011</v>
      </c>
      <c r="Q54" s="3">
        <f t="shared" si="8"/>
        <v>1800</v>
      </c>
      <c r="R54" s="3">
        <f t="shared" si="8"/>
        <v>36</v>
      </c>
      <c r="S54" s="22" t="s">
        <v>76</v>
      </c>
      <c r="T54" s="3">
        <v>0</v>
      </c>
      <c r="U54" s="3">
        <v>0</v>
      </c>
      <c r="V54" s="3"/>
      <c r="W54" s="3"/>
      <c r="X54" s="3" t="s">
        <v>102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ht="13.9">
      <c r="A55" s="3">
        <v>809</v>
      </c>
      <c r="B55" s="3" t="s">
        <v>156</v>
      </c>
      <c r="C55" s="3" t="s">
        <v>245</v>
      </c>
      <c r="D55" s="3" t="s">
        <v>246</v>
      </c>
      <c r="E55" s="3" t="s">
        <v>247</v>
      </c>
      <c r="F55" s="5" t="s">
        <v>66</v>
      </c>
      <c r="G55" s="3" t="s">
        <v>248</v>
      </c>
      <c r="H55" s="6">
        <v>1</v>
      </c>
      <c r="I55">
        <v>120</v>
      </c>
      <c r="J55" s="3">
        <f t="shared" si="8"/>
        <v>18</v>
      </c>
      <c r="K55" s="3">
        <f t="shared" si="8"/>
        <v>6</v>
      </c>
      <c r="L55" s="3">
        <f t="shared" si="8"/>
        <v>0.60000000000000009</v>
      </c>
      <c r="M55" s="3">
        <f t="shared" si="8"/>
        <v>0.60000000000000009</v>
      </c>
      <c r="N55" s="3">
        <f t="shared" si="8"/>
        <v>3</v>
      </c>
      <c r="O55" s="3">
        <f t="shared" si="8"/>
        <v>1.2000000000000002</v>
      </c>
      <c r="P55" s="3">
        <f t="shared" si="8"/>
        <v>1.2000000000000002</v>
      </c>
      <c r="Q55" s="3">
        <f t="shared" si="8"/>
        <v>300</v>
      </c>
      <c r="R55" s="3">
        <f t="shared" si="8"/>
        <v>6</v>
      </c>
      <c r="S55" s="22" t="s">
        <v>76</v>
      </c>
      <c r="T55" s="3">
        <v>0</v>
      </c>
      <c r="U55" s="3">
        <v>0</v>
      </c>
      <c r="V55" s="3"/>
      <c r="W55" s="3"/>
      <c r="X55" s="3" t="s">
        <v>102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ht="13.9">
      <c r="A56" s="3">
        <v>810</v>
      </c>
      <c r="B56" s="3" t="s">
        <v>156</v>
      </c>
      <c r="C56" s="3" t="s">
        <v>249</v>
      </c>
      <c r="D56" s="3" t="s">
        <v>250</v>
      </c>
      <c r="E56" s="3" t="s">
        <v>251</v>
      </c>
      <c r="F56" s="5" t="s">
        <v>66</v>
      </c>
      <c r="G56" s="3" t="s">
        <v>248</v>
      </c>
      <c r="H56" s="6">
        <v>20</v>
      </c>
      <c r="I56">
        <v>2400</v>
      </c>
      <c r="J56" s="3">
        <f t="shared" si="8"/>
        <v>360</v>
      </c>
      <c r="K56" s="3">
        <f t="shared" si="8"/>
        <v>120</v>
      </c>
      <c r="L56" s="3">
        <f t="shared" si="8"/>
        <v>12.000000000000002</v>
      </c>
      <c r="M56" s="3">
        <f t="shared" si="8"/>
        <v>12.000000000000002</v>
      </c>
      <c r="N56" s="3">
        <f t="shared" si="8"/>
        <v>60</v>
      </c>
      <c r="O56" s="3">
        <f t="shared" si="8"/>
        <v>24.000000000000004</v>
      </c>
      <c r="P56" s="3">
        <f t="shared" si="8"/>
        <v>24.000000000000004</v>
      </c>
      <c r="Q56" s="3">
        <f t="shared" si="8"/>
        <v>6000</v>
      </c>
      <c r="R56" s="3">
        <f t="shared" si="8"/>
        <v>120</v>
      </c>
      <c r="S56" s="22" t="s">
        <v>221</v>
      </c>
      <c r="T56" s="3">
        <v>5</v>
      </c>
      <c r="U56" s="3">
        <v>1.2</v>
      </c>
      <c r="V56" s="3"/>
      <c r="W56" s="3"/>
      <c r="X56" s="3" t="s">
        <v>102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ht="13.9">
      <c r="A57" s="3">
        <v>811</v>
      </c>
      <c r="B57" s="3" t="s">
        <v>156</v>
      </c>
      <c r="C57" s="3" t="s">
        <v>175</v>
      </c>
      <c r="D57" s="3" t="s">
        <v>176</v>
      </c>
      <c r="E57" s="3" t="s">
        <v>252</v>
      </c>
      <c r="F57" s="5" t="s">
        <v>66</v>
      </c>
      <c r="G57" s="3" t="s">
        <v>248</v>
      </c>
      <c r="H57" s="6">
        <v>1</v>
      </c>
      <c r="I57">
        <v>120</v>
      </c>
      <c r="J57" s="3">
        <f t="shared" si="8"/>
        <v>18</v>
      </c>
      <c r="K57" s="3">
        <f t="shared" si="8"/>
        <v>6</v>
      </c>
      <c r="L57" s="3">
        <f t="shared" si="8"/>
        <v>0.60000000000000009</v>
      </c>
      <c r="M57" s="3">
        <f t="shared" si="8"/>
        <v>0.60000000000000009</v>
      </c>
      <c r="N57" s="3">
        <f t="shared" si="8"/>
        <v>3</v>
      </c>
      <c r="O57" s="3">
        <f t="shared" si="8"/>
        <v>1.2000000000000002</v>
      </c>
      <c r="P57" s="3">
        <f t="shared" si="8"/>
        <v>1.2000000000000002</v>
      </c>
      <c r="Q57" s="3">
        <f t="shared" si="8"/>
        <v>300</v>
      </c>
      <c r="R57" s="3">
        <f t="shared" si="8"/>
        <v>6</v>
      </c>
      <c r="S57" s="22" t="s">
        <v>76</v>
      </c>
      <c r="T57" s="3">
        <v>0</v>
      </c>
      <c r="U57" s="3">
        <v>0</v>
      </c>
      <c r="V57" s="3"/>
      <c r="W57" s="3"/>
      <c r="X57" s="3" t="s">
        <v>102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ht="13.9">
      <c r="A58" s="3">
        <v>812</v>
      </c>
      <c r="B58" s="3" t="s">
        <v>156</v>
      </c>
      <c r="C58" s="3" t="s">
        <v>253</v>
      </c>
      <c r="D58" s="3" t="s">
        <v>254</v>
      </c>
      <c r="E58" s="3" t="s">
        <v>255</v>
      </c>
      <c r="F58" s="5" t="s">
        <v>66</v>
      </c>
      <c r="G58" s="3" t="s">
        <v>82</v>
      </c>
      <c r="H58" s="6">
        <v>10</v>
      </c>
      <c r="I58">
        <v>1200</v>
      </c>
      <c r="J58" s="3">
        <f t="shared" si="8"/>
        <v>180</v>
      </c>
      <c r="K58" s="3">
        <f t="shared" si="8"/>
        <v>60</v>
      </c>
      <c r="L58" s="3">
        <f t="shared" si="8"/>
        <v>6.0000000000000009</v>
      </c>
      <c r="M58" s="3">
        <f t="shared" si="8"/>
        <v>6.0000000000000009</v>
      </c>
      <c r="N58" s="3">
        <f t="shared" si="8"/>
        <v>30</v>
      </c>
      <c r="O58" s="3">
        <f t="shared" si="8"/>
        <v>12.000000000000002</v>
      </c>
      <c r="P58" s="3">
        <f t="shared" si="8"/>
        <v>12.000000000000002</v>
      </c>
      <c r="Q58" s="3">
        <f t="shared" si="8"/>
        <v>3000</v>
      </c>
      <c r="R58" s="3">
        <f t="shared" si="8"/>
        <v>60</v>
      </c>
      <c r="S58" s="22" t="s">
        <v>76</v>
      </c>
      <c r="T58" s="3">
        <v>0</v>
      </c>
      <c r="U58" s="3">
        <v>0</v>
      </c>
      <c r="V58" s="3"/>
      <c r="W58" s="3"/>
      <c r="X58" s="3" t="s">
        <v>102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ht="13.9">
      <c r="A59" s="3">
        <v>813</v>
      </c>
      <c r="B59" s="3" t="s">
        <v>156</v>
      </c>
      <c r="C59" s="3" t="s">
        <v>256</v>
      </c>
      <c r="D59" s="3" t="s">
        <v>257</v>
      </c>
      <c r="E59" s="3" t="s">
        <v>258</v>
      </c>
      <c r="F59" s="5" t="s">
        <v>66</v>
      </c>
      <c r="G59" s="3" t="s">
        <v>82</v>
      </c>
      <c r="H59" s="6">
        <v>8</v>
      </c>
      <c r="I59">
        <v>960</v>
      </c>
      <c r="J59" s="3">
        <f t="shared" si="8"/>
        <v>144</v>
      </c>
      <c r="K59" s="3">
        <f t="shared" si="8"/>
        <v>48</v>
      </c>
      <c r="L59" s="3">
        <f t="shared" si="8"/>
        <v>4.8000000000000007</v>
      </c>
      <c r="M59" s="3">
        <f t="shared" si="8"/>
        <v>4.8000000000000007</v>
      </c>
      <c r="N59" s="3">
        <f t="shared" si="8"/>
        <v>24</v>
      </c>
      <c r="O59" s="3">
        <f t="shared" si="8"/>
        <v>9.6000000000000014</v>
      </c>
      <c r="P59" s="3">
        <f t="shared" si="8"/>
        <v>9.6000000000000014</v>
      </c>
      <c r="Q59" s="3">
        <f t="shared" si="8"/>
        <v>2400</v>
      </c>
      <c r="R59" s="3">
        <f t="shared" si="8"/>
        <v>48</v>
      </c>
      <c r="S59" s="22" t="s">
        <v>76</v>
      </c>
      <c r="T59" s="3">
        <v>0</v>
      </c>
      <c r="U59" s="3">
        <v>0</v>
      </c>
      <c r="V59" s="3"/>
      <c r="W59" s="3"/>
      <c r="X59" s="3" t="s">
        <v>102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ht="13.9">
      <c r="A60" s="3">
        <v>814</v>
      </c>
      <c r="B60" s="3" t="s">
        <v>156</v>
      </c>
      <c r="C60" s="3" t="s">
        <v>259</v>
      </c>
      <c r="D60" s="3" t="s">
        <v>260</v>
      </c>
      <c r="E60" s="3" t="s">
        <v>261</v>
      </c>
      <c r="F60" s="5" t="s">
        <v>66</v>
      </c>
      <c r="G60" s="3" t="s">
        <v>82</v>
      </c>
      <c r="H60" s="6">
        <v>55</v>
      </c>
      <c r="I60">
        <v>6600</v>
      </c>
      <c r="J60" s="3">
        <f t="shared" si="8"/>
        <v>990</v>
      </c>
      <c r="K60" s="3">
        <f t="shared" si="8"/>
        <v>330</v>
      </c>
      <c r="L60" s="3">
        <f t="shared" si="8"/>
        <v>33.000000000000007</v>
      </c>
      <c r="M60" s="3">
        <f t="shared" si="8"/>
        <v>33.000000000000007</v>
      </c>
      <c r="N60" s="3">
        <f t="shared" si="8"/>
        <v>165</v>
      </c>
      <c r="O60" s="3">
        <f t="shared" si="8"/>
        <v>66.000000000000014</v>
      </c>
      <c r="P60" s="3">
        <f t="shared" si="8"/>
        <v>66.000000000000014</v>
      </c>
      <c r="Q60" s="3">
        <f t="shared" si="8"/>
        <v>16500</v>
      </c>
      <c r="R60" s="3">
        <f t="shared" si="8"/>
        <v>330</v>
      </c>
      <c r="S60" s="22" t="s">
        <v>231</v>
      </c>
      <c r="T60" s="3" t="s">
        <v>262</v>
      </c>
      <c r="U60" s="3" t="s">
        <v>263</v>
      </c>
      <c r="V60" s="3"/>
      <c r="W60" s="3"/>
      <c r="X60" s="3" t="s">
        <v>102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ht="13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22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ht="13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22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ht="13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22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ht="13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22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ht="13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22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ht="13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22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ht="13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22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ht="13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22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ht="13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22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ht="13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22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ht="13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22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ht="13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22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ht="13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22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ht="13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22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ht="13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22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ht="13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22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ht="13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22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ht="13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22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ht="13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22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ht="13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22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ht="13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22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ht="13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22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ht="13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22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ht="13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22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ht="13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22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ht="13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22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ht="13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22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ht="13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22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ht="13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22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ht="13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22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ht="13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22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ht="13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22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ht="13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22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ht="13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22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ht="13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22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ht="13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22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ht="13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22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ht="13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22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ht="13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22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ht="13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22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ht="13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22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ht="13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22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ht="13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22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ht="13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22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ht="13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22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ht="13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22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ht="13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22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ht="13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22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ht="13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22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ht="13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22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ht="13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22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ht="13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22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ht="13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22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ht="13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22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ht="13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22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ht="13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22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ht="13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22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ht="13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22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ht="13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22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ht="13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22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ht="13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22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ht="13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22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ht="13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22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ht="13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22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ht="13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22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ht="13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22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ht="13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22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ht="13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22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ht="13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22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ht="13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22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ht="13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22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ht="13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22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13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22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ht="13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22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ht="13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22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ht="13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22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ht="13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22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ht="13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22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ht="13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22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ht="13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22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ht="13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22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ht="13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22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ht="13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22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ht="13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22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ht="13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22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ht="13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22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ht="13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22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ht="13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22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ht="13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22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ht="13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22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ht="13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22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ht="13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22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ht="13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22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ht="13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22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ht="13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22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ht="13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22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ht="13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22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ht="13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22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ht="13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22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ht="13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22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ht="13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22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ht="13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22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ht="13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22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ht="13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22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ht="13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22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ht="13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22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ht="13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22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ht="13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22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ht="13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22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ht="13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22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ht="13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22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ht="13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22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ht="13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22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ht="13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22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ht="13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22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ht="13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22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ht="13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22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ht="13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22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ht="13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22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ht="13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22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ht="13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22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ht="13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22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ht="13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22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ht="13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22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ht="13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22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ht="13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22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ht="13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22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ht="13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22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ht="13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22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ht="13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22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ht="13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22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ht="13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22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ht="13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22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ht="13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22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ht="13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22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ht="13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22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ht="13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22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ht="13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22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ht="13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22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ht="13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22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ht="13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22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ht="13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22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ht="13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22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ht="13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22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ht="13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22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ht="13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22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ht="13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22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ht="13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22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ht="13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22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ht="13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22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ht="13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22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ht="13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22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ht="13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22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ht="13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22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ht="13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22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ht="13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22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ht="13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22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ht="13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22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ht="13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22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ht="13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22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ht="13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22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ht="13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22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ht="13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22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ht="13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22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ht="13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22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ht="13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22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ht="13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22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ht="13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22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ht="13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22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ht="13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22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ht="13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22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ht="13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22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ht="13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22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ht="13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22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ht="13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22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ht="13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22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ht="13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22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ht="13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22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ht="13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22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ht="13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22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ht="13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22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ht="13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22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ht="13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22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ht="13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22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ht="13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22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ht="13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22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ht="13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22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ht="13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22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ht="13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22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ht="13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22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ht="13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22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ht="13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22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ht="13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22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ht="13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22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ht="13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22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ht="13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22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ht="13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22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ht="13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22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ht="13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22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ht="13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22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ht="13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22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ht="13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22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ht="13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22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ht="13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22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ht="13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22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ht="13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22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ht="13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22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ht="13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22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ht="13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22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ht="13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22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ht="13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22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ht="13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22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ht="13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22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ht="13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22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ht="13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22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ht="13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22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ht="13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22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ht="13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22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ht="13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22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ht="13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22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ht="13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22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ht="13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22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ht="13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22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ht="13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22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ht="13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22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ht="13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22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ht="13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22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ht="13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22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ht="13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22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ht="13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22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ht="13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22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ht="13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22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ht="13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22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ht="13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22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ht="13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22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ht="13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22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ht="13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22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ht="13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22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ht="13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22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ht="13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22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ht="13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22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ht="13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22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ht="13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22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ht="13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22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ht="13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22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ht="13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22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ht="13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22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ht="13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22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ht="13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22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ht="13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22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ht="13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22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ht="13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22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ht="13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22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ht="13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22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ht="13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22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ht="13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22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ht="13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22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ht="13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22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ht="13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22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ht="13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22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ht="13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22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ht="13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22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ht="13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22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ht="13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22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ht="13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22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ht="13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22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ht="13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22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ht="13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22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ht="13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22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ht="13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22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ht="13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22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ht="13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22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ht="13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22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ht="13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22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ht="13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22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ht="13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22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ht="13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22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ht="13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22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ht="13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22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ht="13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22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ht="13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22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ht="13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22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ht="13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22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ht="13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22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ht="13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22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ht="13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22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ht="13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22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ht="13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22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ht="13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22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ht="13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22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ht="13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22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ht="13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22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ht="13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22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ht="13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22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ht="13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22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ht="13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22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ht="13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22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ht="13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22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ht="13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22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ht="13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22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ht="13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22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ht="13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22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ht="13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22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ht="13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22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ht="13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22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ht="13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22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ht="13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22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ht="13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22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ht="13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22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ht="13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22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ht="13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22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ht="13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22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ht="13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22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ht="13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22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ht="13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22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ht="13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22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ht="13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22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ht="13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22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ht="13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22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ht="13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22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ht="13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22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ht="13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22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ht="13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22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ht="13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22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ht="13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22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ht="13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22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ht="13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22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ht="13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22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ht="13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22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ht="13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22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ht="13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22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ht="13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22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ht="13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22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ht="13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22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ht="13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22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ht="13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22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ht="13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2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ht="13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2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ht="13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22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ht="13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22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ht="13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22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ht="13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22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ht="13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22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ht="13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22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ht="13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22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ht="13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22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ht="13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22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ht="13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22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ht="13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22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ht="13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22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ht="13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22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ht="13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22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ht="13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22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ht="13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22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ht="13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22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ht="13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22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ht="13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22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ht="13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22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ht="13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22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ht="13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22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ht="13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22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ht="13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22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ht="13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22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ht="13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22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ht="13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22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ht="13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22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ht="13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22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ht="13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22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ht="13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22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ht="13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22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ht="13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22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ht="13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22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ht="13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22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ht="13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22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ht="13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22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ht="13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22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ht="13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22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ht="13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22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ht="13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22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ht="13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22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ht="13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22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ht="13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22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ht="13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22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ht="13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22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ht="13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22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ht="13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22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ht="13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22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ht="13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22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ht="13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22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ht="13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22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ht="13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22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ht="13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22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ht="13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22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ht="13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22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ht="13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22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ht="13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22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ht="13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22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ht="13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22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ht="13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22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ht="13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22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ht="13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22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ht="13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22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ht="13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22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ht="13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22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ht="13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22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ht="13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22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ht="13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22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ht="13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22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ht="13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22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ht="13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22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ht="13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22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ht="13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22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ht="13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22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ht="13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22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ht="13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22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ht="13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22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ht="13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22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ht="13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22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ht="13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22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ht="13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22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ht="13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22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ht="13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22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ht="13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22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ht="13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22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ht="13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22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ht="13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22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ht="13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22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ht="13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22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ht="13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22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ht="13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22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ht="13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22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ht="13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22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ht="13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22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ht="13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22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ht="13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22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ht="13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22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ht="13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22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ht="13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22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ht="13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22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ht="13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22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ht="13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22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ht="13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22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ht="13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22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ht="13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22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ht="13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22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ht="13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22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ht="13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22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ht="13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22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ht="13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22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ht="13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22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ht="13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22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ht="13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22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ht="13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22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ht="13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22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ht="13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22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ht="13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22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ht="13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22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ht="13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22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ht="13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22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ht="13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22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ht="13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22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ht="13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22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ht="13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22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ht="13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22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ht="13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22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ht="13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22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ht="13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22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ht="13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22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ht="13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22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ht="13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22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ht="13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22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ht="13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22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ht="13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22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ht="13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22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ht="13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22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ht="13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22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ht="13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22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ht="13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22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ht="13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22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ht="13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22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ht="13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22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ht="13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22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ht="13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22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ht="13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22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ht="13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22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ht="13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22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ht="13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22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ht="13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22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ht="13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22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ht="13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22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ht="13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22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ht="13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22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ht="13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22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ht="13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22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ht="13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22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ht="13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22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ht="13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22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ht="13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22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ht="13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22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ht="13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22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ht="13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22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ht="13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22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ht="13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22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ht="13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22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ht="13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22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ht="13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22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ht="13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22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ht="13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22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ht="13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22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ht="13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22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ht="13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22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ht="13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22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ht="13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22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ht="13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22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ht="13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22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ht="13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22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ht="13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22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ht="13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22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ht="13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22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ht="13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22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ht="13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22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ht="13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22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ht="13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22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ht="13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22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ht="13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22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ht="13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22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ht="13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22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ht="13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22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ht="13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22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ht="13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22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ht="13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22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ht="13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22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ht="13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22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ht="13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22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ht="13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22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ht="13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22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ht="13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22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ht="13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22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ht="13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22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ht="13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22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ht="13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22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ht="13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22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ht="13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22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ht="13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22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ht="13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22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ht="13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22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ht="13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22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ht="13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22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ht="13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22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ht="13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22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ht="13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22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ht="13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22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ht="13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22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ht="13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22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ht="13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22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ht="13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22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ht="13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22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ht="13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22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ht="13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22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ht="13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22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ht="13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22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ht="13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22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ht="13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22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ht="13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22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ht="13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22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ht="13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22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ht="13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22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ht="13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22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ht="13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22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ht="13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22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ht="13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22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ht="13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22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ht="13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22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ht="13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22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ht="13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22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ht="13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22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ht="13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22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ht="13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22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ht="13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22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ht="13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22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ht="13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22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ht="13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22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ht="13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22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ht="13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22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ht="13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22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ht="13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22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ht="13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22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ht="13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22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ht="13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22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ht="13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22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ht="13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22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ht="13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22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ht="13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22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ht="13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22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ht="13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22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ht="13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22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ht="13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22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ht="13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22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ht="13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22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ht="13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22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ht="13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22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ht="13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22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ht="13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22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ht="13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22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ht="13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22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ht="13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22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ht="13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22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ht="13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22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ht="13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22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ht="13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22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ht="13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22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ht="13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22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ht="13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22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ht="13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22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ht="13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22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ht="13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22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ht="13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22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ht="13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22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ht="13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22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ht="13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22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ht="13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22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ht="13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22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ht="13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22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ht="13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22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ht="13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22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ht="13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22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ht="13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22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ht="13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22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ht="13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22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ht="13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22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ht="13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22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ht="13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22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ht="13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22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ht="13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22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ht="13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22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ht="13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22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ht="13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22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ht="13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22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ht="13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22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ht="13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22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ht="13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22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ht="13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22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ht="13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22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ht="13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22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ht="13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22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ht="13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22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ht="13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22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ht="13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22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ht="13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22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ht="13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22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ht="13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22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ht="13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22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ht="13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22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ht="13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22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ht="13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22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ht="13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22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ht="13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22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ht="13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22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ht="13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22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ht="13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22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ht="13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22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ht="13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22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ht="13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22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ht="13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22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ht="13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22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ht="13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22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ht="13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22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ht="13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22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ht="13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22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ht="13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22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ht="13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22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ht="13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22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ht="13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22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ht="13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22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ht="13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22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ht="13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22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ht="13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22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ht="13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22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ht="13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22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ht="13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22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ht="13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22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ht="13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22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ht="13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22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ht="13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22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ht="13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22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ht="13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22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ht="13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22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ht="13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22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ht="13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22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ht="13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22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ht="13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22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ht="13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22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ht="13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22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ht="13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22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ht="13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22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ht="13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22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ht="13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22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ht="13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22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ht="13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22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ht="13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22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ht="13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22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ht="13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22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ht="13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22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ht="13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22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ht="13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22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ht="13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22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ht="13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22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ht="13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22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ht="13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22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ht="13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22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ht="13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22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ht="13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22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ht="13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22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ht="13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22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ht="13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22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ht="13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22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ht="13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22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ht="13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22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ht="13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22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ht="13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22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ht="13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22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ht="13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22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ht="13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22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ht="13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22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ht="13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22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ht="13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22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ht="13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22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ht="13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22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ht="13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22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ht="13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22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ht="13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22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ht="13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22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ht="13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22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ht="13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22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ht="13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22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ht="13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22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ht="13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22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ht="13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22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ht="13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22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ht="13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22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ht="13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22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ht="13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22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ht="13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22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ht="13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22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ht="13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22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ht="13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22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ht="13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22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ht="13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22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ht="13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22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ht="13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22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ht="13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22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ht="13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22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ht="13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22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ht="13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22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ht="13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22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ht="13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22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ht="13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22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ht="13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22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ht="13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22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ht="13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22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ht="13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22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ht="13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22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ht="13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22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ht="13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22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ht="13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22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ht="13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22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ht="13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22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ht="13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22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ht="13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22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ht="13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22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ht="13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22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ht="13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22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ht="13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22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ht="13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22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ht="13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22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ht="13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22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ht="13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22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ht="13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22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ht="13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22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ht="13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22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ht="13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22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ht="13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22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ht="13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22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ht="13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22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ht="13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22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ht="13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22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ht="13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22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ht="13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22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ht="13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22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ht="13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22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ht="13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22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ht="13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22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ht="13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22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ht="13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22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ht="13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22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ht="13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22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ht="13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22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ht="13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22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ht="13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22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ht="13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22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ht="13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22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ht="13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22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ht="13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22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ht="13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22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ht="13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22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ht="13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22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ht="13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22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ht="13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22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ht="13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22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ht="13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22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ht="13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22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ht="13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22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ht="13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22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ht="13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22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ht="13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22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ht="13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22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ht="13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22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ht="13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22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ht="13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22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ht="13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22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ht="13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22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ht="13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22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ht="13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22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ht="13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22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ht="13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22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ht="13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22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ht="13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22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ht="13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22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ht="13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22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ht="13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22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ht="13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22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ht="13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22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ht="13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22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ht="13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22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ht="13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22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ht="13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22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ht="13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22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ht="13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22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ht="13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22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ht="13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22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ht="13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22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ht="13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22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ht="13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22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ht="13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22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ht="13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22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ht="13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22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ht="13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22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ht="13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22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ht="13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22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ht="13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22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ht="13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22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ht="13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22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ht="13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22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ht="13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22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ht="13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22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ht="13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22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ht="13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22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ht="13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22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ht="13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22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ht="13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22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ht="13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22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ht="13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22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ht="13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22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ht="13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22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ht="13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22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ht="13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22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ht="13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22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ht="13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22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ht="13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22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ht="13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22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ht="13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22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ht="13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22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ht="13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22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ht="13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22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ht="13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22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ht="13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22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ht="13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22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ht="13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22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ht="13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22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ht="13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22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ht="13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22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ht="13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22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ht="13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22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ht="13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22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ht="13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22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ht="13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22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ht="13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22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ht="13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22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ht="13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22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ht="13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22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ht="13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22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ht="13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22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ht="13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22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ht="13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22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ht="13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22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ht="13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22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ht="13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22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ht="13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22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ht="13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22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ht="13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22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ht="13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22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ht="13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22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ht="13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22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ht="13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22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ht="13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22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ht="13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22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ht="13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22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ht="13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22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ht="13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22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ht="13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22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ht="13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22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ht="13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22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ht="13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22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ht="13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22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ht="13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22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ht="13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22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ht="13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22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ht="13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22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ht="13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22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ht="13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22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ht="13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22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ht="13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22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ht="13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22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ht="13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22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ht="13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22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ht="13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22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ht="13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22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ht="13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22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ht="13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22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ht="13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22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ht="13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22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ht="13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22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ht="13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22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ht="13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22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ht="13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22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ht="13.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22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ht="13.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22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ht="13.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22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ht="13.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22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ht="13.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22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 spans="1:41" ht="13.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22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 spans="1:41" ht="13.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22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 spans="1:41" ht="13.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22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 spans="1:41" ht="13.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22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 spans="1:41" ht="13.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22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 spans="1:41" ht="13.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22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 spans="1:41" ht="13.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22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 spans="1:41" ht="13.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22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 spans="1:41" ht="13.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22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 spans="1:41" ht="13.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22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 spans="1:41" ht="13.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22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 spans="1:41" ht="13.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22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 spans="1:41" ht="13.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22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 spans="1:41" ht="13.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22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 spans="1:41" ht="13.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22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 spans="1:41" ht="13.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22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 spans="1:41" ht="13.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22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 spans="1:41" ht="13.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22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 spans="1:41" ht="13.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22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 spans="1:41" ht="13.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22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 spans="1:41" ht="13.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22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 spans="1:41" ht="13.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22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 spans="1:41" ht="13.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22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</row>
    <row r="1024" spans="1:41" ht="13.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22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</row>
    <row r="1025" spans="1:41" ht="13.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22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</row>
    <row r="1026" spans="1:41" ht="13.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22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</row>
    <row r="1027" spans="1:41" ht="13.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22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</row>
    <row r="1028" spans="1:41" ht="13.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22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</row>
    <row r="1029" spans="1:41" ht="13.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22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</row>
    <row r="1030" spans="1:41" ht="13.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22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  <row r="1031" spans="1:41" ht="13.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22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</row>
    <row r="1032" spans="1:41" ht="13.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22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</row>
    <row r="1033" spans="1:41" ht="13.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22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</row>
    <row r="1034" spans="1:41" ht="13.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22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</row>
    <row r="1035" spans="1:41" ht="13.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22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</row>
    <row r="1036" spans="1:41" ht="13.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22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</row>
    <row r="1037" spans="1:41" ht="13.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22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spans="1:41" ht="13.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22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</row>
    <row r="1039" spans="1:41" ht="13.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22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</row>
    <row r="1040" spans="1:41" ht="13.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22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</row>
    <row r="1041" spans="1:41" ht="13.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22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</row>
    <row r="1042" spans="1:41" ht="13.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22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</row>
  </sheetData>
  <autoFilter ref="A3:Z48" xr:uid="{00000000-0009-0000-0000-000000000000}">
    <sortState xmlns:xlrd2="http://schemas.microsoft.com/office/spreadsheetml/2017/richdata2" ref="A4:Z60">
      <sortCondition ref="A3:A48"/>
    </sortState>
  </autoFilter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topLeftCell="J1" workbookViewId="0">
      <selection activeCell="I1" sqref="I1:I9"/>
    </sheetView>
  </sheetViews>
  <sheetFormatPr defaultColWidth="12.59765625" defaultRowHeight="15.75" customHeight="1"/>
  <cols>
    <col min="2" max="2" width="31" customWidth="1"/>
    <col min="3" max="3" width="26" customWidth="1"/>
  </cols>
  <sheetData>
    <row r="1" spans="1:20" ht="15.75" customHeight="1">
      <c r="A1" s="26" t="s">
        <v>0</v>
      </c>
      <c r="B1" s="26" t="s">
        <v>264</v>
      </c>
      <c r="C1" s="26" t="s">
        <v>265</v>
      </c>
      <c r="D1" s="26" t="s">
        <v>266</v>
      </c>
      <c r="E1" s="26" t="s">
        <v>267</v>
      </c>
      <c r="F1" s="26" t="s">
        <v>7</v>
      </c>
      <c r="G1" s="26" t="s">
        <v>268</v>
      </c>
      <c r="H1" s="26" t="s">
        <v>269</v>
      </c>
      <c r="I1" s="26" t="s">
        <v>270</v>
      </c>
      <c r="J1" s="26" t="s">
        <v>271</v>
      </c>
      <c r="K1" s="26" t="s">
        <v>272</v>
      </c>
      <c r="L1" s="26" t="s">
        <v>273</v>
      </c>
      <c r="M1" s="26" t="s">
        <v>274</v>
      </c>
      <c r="N1" s="26" t="s">
        <v>275</v>
      </c>
      <c r="O1" s="26" t="s">
        <v>276</v>
      </c>
      <c r="P1" s="26" t="s">
        <v>277</v>
      </c>
      <c r="Q1" s="26" t="s">
        <v>278</v>
      </c>
      <c r="R1" s="26" t="s">
        <v>279</v>
      </c>
      <c r="S1" s="26" t="s">
        <v>280</v>
      </c>
      <c r="T1" s="3" t="s">
        <v>281</v>
      </c>
    </row>
    <row r="2" spans="1:20" ht="15.75" customHeight="1">
      <c r="A2" s="26" t="s">
        <v>26</v>
      </c>
      <c r="B2" s="26" t="s">
        <v>34</v>
      </c>
      <c r="C2" s="26" t="s">
        <v>33</v>
      </c>
      <c r="D2" s="26" t="s">
        <v>31</v>
      </c>
      <c r="E2" s="26" t="s">
        <v>31</v>
      </c>
      <c r="F2" s="26" t="s">
        <v>26</v>
      </c>
      <c r="G2" s="26" t="s">
        <v>26</v>
      </c>
      <c r="H2" s="26" t="s">
        <v>31</v>
      </c>
      <c r="I2" s="26" t="s">
        <v>31</v>
      </c>
      <c r="J2" s="26" t="s">
        <v>26</v>
      </c>
      <c r="K2" s="26" t="s">
        <v>31</v>
      </c>
      <c r="L2" s="26" t="s">
        <v>31</v>
      </c>
      <c r="M2" s="26" t="s">
        <v>31</v>
      </c>
      <c r="N2" s="26" t="s">
        <v>31</v>
      </c>
      <c r="O2" s="26" t="s">
        <v>31</v>
      </c>
      <c r="P2" s="26" t="s">
        <v>31</v>
      </c>
      <c r="Q2" s="26" t="s">
        <v>31</v>
      </c>
      <c r="R2" s="26" t="s">
        <v>31</v>
      </c>
      <c r="S2" s="26" t="s">
        <v>26</v>
      </c>
      <c r="T2" s="3" t="s">
        <v>26</v>
      </c>
    </row>
    <row r="3" spans="1:20" ht="15.75" customHeight="1">
      <c r="A3" s="26" t="s">
        <v>36</v>
      </c>
      <c r="B3" s="26" t="s">
        <v>282</v>
      </c>
      <c r="C3" s="26" t="s">
        <v>283</v>
      </c>
      <c r="D3" s="26" t="s">
        <v>284</v>
      </c>
      <c r="E3" s="26" t="s">
        <v>285</v>
      </c>
      <c r="F3" s="26" t="s">
        <v>286</v>
      </c>
      <c r="G3" s="26" t="s">
        <v>287</v>
      </c>
      <c r="H3" s="26" t="s">
        <v>288</v>
      </c>
      <c r="I3" s="26" t="s">
        <v>289</v>
      </c>
      <c r="J3" s="26" t="s">
        <v>290</v>
      </c>
      <c r="K3" s="26" t="s">
        <v>44</v>
      </c>
      <c r="L3" s="26" t="s">
        <v>45</v>
      </c>
      <c r="M3" s="26" t="s">
        <v>46</v>
      </c>
      <c r="N3" s="26" t="s">
        <v>47</v>
      </c>
      <c r="O3" s="26" t="s">
        <v>49</v>
      </c>
      <c r="P3" s="26" t="s">
        <v>50</v>
      </c>
      <c r="Q3" s="26" t="s">
        <v>51</v>
      </c>
      <c r="R3" s="26" t="s">
        <v>53</v>
      </c>
      <c r="S3" s="26" t="s">
        <v>52</v>
      </c>
      <c r="T3" s="3" t="s">
        <v>291</v>
      </c>
    </row>
    <row r="4" spans="1:20" ht="15.75" customHeight="1">
      <c r="A4" s="26">
        <v>1</v>
      </c>
      <c r="B4" s="26" t="s">
        <v>292</v>
      </c>
      <c r="C4" s="26" t="s">
        <v>293</v>
      </c>
      <c r="D4" s="26">
        <v>100</v>
      </c>
      <c r="E4" s="26">
        <v>100</v>
      </c>
      <c r="F4" s="26">
        <v>1</v>
      </c>
      <c r="G4" s="26">
        <v>40</v>
      </c>
      <c r="H4" s="26">
        <v>0.03</v>
      </c>
      <c r="I4" s="26">
        <v>20</v>
      </c>
      <c r="J4" s="26"/>
      <c r="K4" s="26">
        <v>100</v>
      </c>
      <c r="L4" s="26">
        <v>5</v>
      </c>
      <c r="M4" s="26">
        <v>5</v>
      </c>
      <c r="N4" s="26">
        <v>1</v>
      </c>
      <c r="O4" s="26"/>
      <c r="P4" s="26"/>
      <c r="Q4" s="26"/>
      <c r="R4" s="26">
        <v>10</v>
      </c>
      <c r="S4" s="26">
        <v>500</v>
      </c>
      <c r="T4" s="3">
        <v>100001</v>
      </c>
    </row>
    <row r="5" spans="1:20" ht="15.75" customHeight="1">
      <c r="A5" s="26">
        <v>2</v>
      </c>
      <c r="B5" s="26" t="s">
        <v>294</v>
      </c>
      <c r="C5" s="26" t="s">
        <v>295</v>
      </c>
      <c r="D5" s="26">
        <v>100</v>
      </c>
      <c r="E5" s="26">
        <v>100</v>
      </c>
      <c r="F5" s="26">
        <v>1</v>
      </c>
      <c r="G5" s="26">
        <v>40</v>
      </c>
      <c r="H5" s="26">
        <v>0.03</v>
      </c>
      <c r="I5" s="26">
        <v>20</v>
      </c>
      <c r="J5" s="26"/>
      <c r="K5" s="26">
        <v>500</v>
      </c>
      <c r="L5" s="26">
        <v>40</v>
      </c>
      <c r="M5" s="26">
        <v>10</v>
      </c>
      <c r="N5" s="26">
        <v>0.7</v>
      </c>
      <c r="O5" s="26">
        <v>10</v>
      </c>
      <c r="P5" s="26">
        <v>1</v>
      </c>
      <c r="Q5" s="26">
        <v>1</v>
      </c>
      <c r="R5" s="26">
        <v>12</v>
      </c>
      <c r="S5" s="26">
        <v>1000</v>
      </c>
      <c r="T5" s="3">
        <v>100002</v>
      </c>
    </row>
    <row r="6" spans="1:20" ht="15.75" customHeight="1">
      <c r="A6" s="26">
        <v>3</v>
      </c>
      <c r="B6" s="26" t="s">
        <v>296</v>
      </c>
      <c r="C6" s="26" t="s">
        <v>297</v>
      </c>
      <c r="D6" s="26">
        <v>100</v>
      </c>
      <c r="E6" s="26">
        <v>100</v>
      </c>
      <c r="F6" s="26">
        <v>1</v>
      </c>
      <c r="G6" s="26">
        <v>40</v>
      </c>
      <c r="H6" s="26">
        <v>0.03</v>
      </c>
      <c r="I6" s="26">
        <v>20</v>
      </c>
      <c r="J6" s="26"/>
      <c r="K6" s="26">
        <v>200</v>
      </c>
      <c r="L6" s="26">
        <v>10</v>
      </c>
      <c r="M6" s="26">
        <v>6</v>
      </c>
      <c r="N6" s="26">
        <v>1.5</v>
      </c>
      <c r="O6" s="26">
        <v>5</v>
      </c>
      <c r="P6" s="26">
        <v>100</v>
      </c>
      <c r="Q6" s="26">
        <v>1.5</v>
      </c>
      <c r="R6" s="26">
        <v>5</v>
      </c>
      <c r="S6" s="26">
        <v>500</v>
      </c>
      <c r="T6" s="3">
        <v>100003</v>
      </c>
    </row>
    <row r="7" spans="1:20" ht="15.75" customHeight="1">
      <c r="A7" s="26">
        <v>4</v>
      </c>
      <c r="B7" s="26" t="s">
        <v>298</v>
      </c>
      <c r="C7" s="26" t="s">
        <v>299</v>
      </c>
      <c r="D7" s="26">
        <v>100</v>
      </c>
      <c r="E7" s="26">
        <v>100</v>
      </c>
      <c r="F7" s="26">
        <v>1</v>
      </c>
      <c r="G7" s="26">
        <v>40</v>
      </c>
      <c r="H7" s="26">
        <v>0.03</v>
      </c>
      <c r="I7" s="26">
        <v>20</v>
      </c>
      <c r="J7" s="26"/>
      <c r="K7" s="26">
        <v>300</v>
      </c>
      <c r="L7" s="26">
        <v>20</v>
      </c>
      <c r="M7" s="26">
        <v>8</v>
      </c>
      <c r="N7" s="26">
        <v>0.8</v>
      </c>
      <c r="O7" s="26">
        <v>0</v>
      </c>
      <c r="P7" s="26">
        <v>0.7</v>
      </c>
      <c r="Q7" s="26">
        <v>0.5</v>
      </c>
      <c r="R7" s="26">
        <v>5</v>
      </c>
      <c r="S7" s="26">
        <v>400</v>
      </c>
      <c r="T7" s="3">
        <v>100004</v>
      </c>
    </row>
    <row r="8" spans="1:20" ht="15.75" customHeight="1">
      <c r="A8" s="26">
        <v>5</v>
      </c>
      <c r="B8" s="26" t="s">
        <v>300</v>
      </c>
      <c r="C8" s="26" t="s">
        <v>301</v>
      </c>
      <c r="D8" s="26">
        <v>100</v>
      </c>
      <c r="E8" s="26">
        <v>100</v>
      </c>
      <c r="F8" s="26">
        <v>1</v>
      </c>
      <c r="G8" s="26">
        <v>40</v>
      </c>
      <c r="H8" s="26">
        <v>0.03</v>
      </c>
      <c r="I8" s="26">
        <v>20</v>
      </c>
      <c r="J8" s="26"/>
      <c r="K8" s="26">
        <v>100</v>
      </c>
      <c r="L8" s="26">
        <v>5</v>
      </c>
      <c r="M8" s="26">
        <v>3</v>
      </c>
      <c r="N8" s="26">
        <v>4</v>
      </c>
      <c r="O8" s="26">
        <v>10</v>
      </c>
      <c r="P8" s="26">
        <v>1</v>
      </c>
      <c r="Q8" s="26">
        <v>1.5</v>
      </c>
      <c r="R8" s="26">
        <v>3</v>
      </c>
      <c r="S8" s="26">
        <v>200</v>
      </c>
      <c r="T8" s="3">
        <v>100005</v>
      </c>
    </row>
    <row r="9" spans="1:20" ht="15.75" customHeight="1">
      <c r="A9" s="4">
        <v>6</v>
      </c>
      <c r="B9" s="4" t="s">
        <v>101</v>
      </c>
      <c r="C9" s="4" t="s">
        <v>302</v>
      </c>
      <c r="D9" s="4">
        <v>100</v>
      </c>
      <c r="E9" s="4">
        <v>100</v>
      </c>
      <c r="F9" s="4">
        <v>1</v>
      </c>
      <c r="G9" s="4">
        <v>40</v>
      </c>
      <c r="H9" s="4">
        <v>0.1</v>
      </c>
      <c r="I9" s="4">
        <v>20</v>
      </c>
      <c r="J9" s="4"/>
      <c r="K9" s="4">
        <f>CharacterData!I10</f>
        <v>20</v>
      </c>
      <c r="L9" s="4">
        <f>CharacterData!J10</f>
        <v>3</v>
      </c>
      <c r="M9" s="4">
        <f>CharacterData!K10</f>
        <v>1</v>
      </c>
      <c r="N9" s="4">
        <f>CharacterData!L10</f>
        <v>0.1</v>
      </c>
      <c r="O9" s="4">
        <f>CharacterData!M10</f>
        <v>0.1</v>
      </c>
      <c r="P9" s="4">
        <f>CharacterData!N10</f>
        <v>0.5</v>
      </c>
      <c r="Q9" s="4">
        <f>CharacterData!O10</f>
        <v>0.2</v>
      </c>
      <c r="R9" s="4">
        <f>CharacterData!P10</f>
        <v>0.2</v>
      </c>
      <c r="S9" s="4">
        <f>CharacterData!Q10</f>
        <v>50</v>
      </c>
      <c r="T9" s="3">
        <v>100006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L18" sqref="L1:L18"/>
    </sheetView>
  </sheetViews>
  <sheetFormatPr defaultColWidth="12.59765625" defaultRowHeight="15.75" customHeight="1"/>
  <cols>
    <col min="4" max="4" width="15.3984375" customWidth="1"/>
  </cols>
  <sheetData>
    <row r="1" spans="1:26" ht="15.75" customHeight="1">
      <c r="A1" s="26" t="s">
        <v>0</v>
      </c>
      <c r="B1" s="5" t="s">
        <v>303</v>
      </c>
      <c r="C1" s="5" t="s">
        <v>304</v>
      </c>
      <c r="D1" s="5" t="s">
        <v>305</v>
      </c>
      <c r="E1" s="5" t="s">
        <v>306</v>
      </c>
      <c r="F1" s="5" t="s">
        <v>307</v>
      </c>
      <c r="G1" s="30" t="s">
        <v>352</v>
      </c>
      <c r="H1" s="30" t="s">
        <v>353</v>
      </c>
      <c r="I1" s="30" t="s">
        <v>354</v>
      </c>
      <c r="J1" s="30" t="s">
        <v>368</v>
      </c>
      <c r="K1" s="30" t="s">
        <v>369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26" t="s">
        <v>26</v>
      </c>
      <c r="B2" s="5" t="s">
        <v>308</v>
      </c>
      <c r="C2" s="5" t="s">
        <v>31</v>
      </c>
      <c r="D2" s="5" t="s">
        <v>31</v>
      </c>
      <c r="E2" s="5" t="s">
        <v>31</v>
      </c>
      <c r="F2" s="5" t="s">
        <v>309</v>
      </c>
      <c r="G2" s="3" t="s">
        <v>355</v>
      </c>
      <c r="H2" s="3" t="s">
        <v>356</v>
      </c>
      <c r="I2" s="3" t="s">
        <v>355</v>
      </c>
      <c r="J2" s="3" t="s">
        <v>370</v>
      </c>
      <c r="K2" s="3" t="s">
        <v>370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26" t="s">
        <v>36</v>
      </c>
      <c r="B3" s="5" t="s">
        <v>310</v>
      </c>
      <c r="C3" s="5" t="s">
        <v>311</v>
      </c>
      <c r="D3" s="5" t="s">
        <v>312</v>
      </c>
      <c r="E3" s="5" t="s">
        <v>313</v>
      </c>
      <c r="F3" s="5" t="s">
        <v>314</v>
      </c>
      <c r="G3" s="3" t="s">
        <v>349</v>
      </c>
      <c r="H3" s="3" t="s">
        <v>350</v>
      </c>
      <c r="I3" s="3" t="s">
        <v>351</v>
      </c>
      <c r="J3" s="3" t="s">
        <v>371</v>
      </c>
      <c r="K3" s="3" t="s">
        <v>372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26">
        <v>101</v>
      </c>
      <c r="B4" s="5" t="b">
        <v>1</v>
      </c>
      <c r="C4" s="5">
        <v>8.5</v>
      </c>
      <c r="D4" s="5">
        <v>5.5</v>
      </c>
      <c r="E4" s="5">
        <v>120</v>
      </c>
      <c r="F4" s="3" t="s">
        <v>315</v>
      </c>
      <c r="G4" s="3"/>
      <c r="H4" s="3"/>
      <c r="I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26">
        <v>102</v>
      </c>
      <c r="B5" s="5" t="b">
        <v>1</v>
      </c>
      <c r="C5" s="5">
        <v>8.5</v>
      </c>
      <c r="D5" s="5">
        <v>5.5</v>
      </c>
      <c r="E5" s="5">
        <v>120</v>
      </c>
      <c r="F5" s="3" t="s">
        <v>315</v>
      </c>
      <c r="G5" s="9" t="s">
        <v>357</v>
      </c>
      <c r="H5" s="3" t="s">
        <v>365</v>
      </c>
      <c r="I5" s="3" t="s">
        <v>362</v>
      </c>
      <c r="J5">
        <v>0</v>
      </c>
      <c r="K5" s="3">
        <v>10</v>
      </c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26">
        <v>103</v>
      </c>
      <c r="B6" s="5" t="b">
        <v>1</v>
      </c>
      <c r="C6" s="5">
        <v>8.5</v>
      </c>
      <c r="D6" s="5">
        <v>5.5</v>
      </c>
      <c r="E6" s="5">
        <v>120</v>
      </c>
      <c r="F6" s="3" t="s">
        <v>315</v>
      </c>
      <c r="G6" s="9" t="s">
        <v>357</v>
      </c>
      <c r="H6" s="3" t="s">
        <v>365</v>
      </c>
      <c r="I6" s="3" t="s">
        <v>362</v>
      </c>
      <c r="J6">
        <v>0</v>
      </c>
      <c r="K6" s="3">
        <v>10</v>
      </c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>
      <c r="A7" s="3">
        <v>201</v>
      </c>
      <c r="B7" s="5" t="b">
        <v>1</v>
      </c>
      <c r="C7" s="3">
        <v>8.5</v>
      </c>
      <c r="D7" s="3">
        <v>5.5</v>
      </c>
      <c r="E7" s="3">
        <v>120</v>
      </c>
      <c r="F7" s="3" t="s">
        <v>315</v>
      </c>
      <c r="G7" s="9" t="s">
        <v>357</v>
      </c>
      <c r="H7" s="3" t="s">
        <v>365</v>
      </c>
      <c r="I7" s="3" t="s">
        <v>362</v>
      </c>
      <c r="J7">
        <v>0</v>
      </c>
      <c r="K7" s="3">
        <v>0</v>
      </c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>
      <c r="A8" s="3">
        <v>202</v>
      </c>
      <c r="B8" s="5" t="b">
        <v>1</v>
      </c>
      <c r="C8" s="3">
        <v>8.5</v>
      </c>
      <c r="D8" s="3">
        <v>5.5</v>
      </c>
      <c r="E8" s="3">
        <v>120</v>
      </c>
      <c r="F8" s="3" t="s">
        <v>315</v>
      </c>
      <c r="G8" s="3"/>
      <c r="H8" s="3"/>
      <c r="I8" s="3"/>
      <c r="J8">
        <v>5</v>
      </c>
      <c r="K8" s="3">
        <v>10</v>
      </c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>
      <c r="A9" s="3">
        <v>203</v>
      </c>
      <c r="B9" s="5" t="b">
        <v>1</v>
      </c>
      <c r="C9" s="3">
        <v>8.5</v>
      </c>
      <c r="D9" s="3">
        <v>5.5</v>
      </c>
      <c r="E9" s="3">
        <v>120</v>
      </c>
      <c r="F9" s="3" t="s">
        <v>315</v>
      </c>
      <c r="G9" s="9" t="s">
        <v>358</v>
      </c>
      <c r="H9" s="3" t="s">
        <v>366</v>
      </c>
      <c r="I9" s="3" t="s">
        <v>364</v>
      </c>
      <c r="J9">
        <v>0</v>
      </c>
      <c r="K9" s="3">
        <v>10</v>
      </c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>
      <c r="A10" s="3">
        <v>204</v>
      </c>
      <c r="B10" s="5" t="b">
        <v>1</v>
      </c>
      <c r="C10" s="3">
        <v>8.5</v>
      </c>
      <c r="D10" s="3">
        <v>5.5</v>
      </c>
      <c r="E10" s="3">
        <v>120</v>
      </c>
      <c r="F10" s="3" t="s">
        <v>315</v>
      </c>
      <c r="G10" s="9">
        <v>2210</v>
      </c>
      <c r="H10" s="3">
        <v>30</v>
      </c>
      <c r="I10" s="3">
        <v>1</v>
      </c>
      <c r="J10">
        <v>0</v>
      </c>
      <c r="K10" s="3">
        <v>0</v>
      </c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>
      <c r="A11" s="3">
        <v>205</v>
      </c>
      <c r="B11" s="5" t="b">
        <v>0</v>
      </c>
      <c r="C11" s="3">
        <v>8.5</v>
      </c>
      <c r="D11" s="3">
        <v>5.5</v>
      </c>
      <c r="E11" s="3">
        <v>120</v>
      </c>
      <c r="F11" s="3" t="s">
        <v>315</v>
      </c>
      <c r="G11" s="3"/>
      <c r="H11" s="3"/>
      <c r="I11" s="3"/>
      <c r="J11">
        <v>10</v>
      </c>
      <c r="K11" s="3">
        <v>15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>
      <c r="A12" s="3">
        <v>206</v>
      </c>
      <c r="B12" s="5" t="b">
        <v>0</v>
      </c>
      <c r="C12" s="3">
        <v>8.5</v>
      </c>
      <c r="D12" s="3">
        <v>5.5</v>
      </c>
      <c r="E12" s="3">
        <v>120</v>
      </c>
      <c r="F12" s="3" t="s">
        <v>315</v>
      </c>
      <c r="G12" s="9" t="s">
        <v>357</v>
      </c>
      <c r="H12" s="3" t="s">
        <v>365</v>
      </c>
      <c r="I12" s="3" t="s">
        <v>362</v>
      </c>
      <c r="J12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>
      <c r="A13" s="19">
        <v>301</v>
      </c>
      <c r="B13" s="9" t="b">
        <v>1</v>
      </c>
      <c r="C13" s="3">
        <v>8.5</v>
      </c>
      <c r="D13" s="3">
        <v>5.5</v>
      </c>
      <c r="E13" s="3">
        <v>120</v>
      </c>
      <c r="F13" s="3" t="s">
        <v>315</v>
      </c>
      <c r="G13" s="3"/>
      <c r="H13" s="3"/>
      <c r="I13" s="3"/>
      <c r="J13">
        <v>10</v>
      </c>
      <c r="K13" s="3">
        <v>15</v>
      </c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>
      <c r="A14" s="19">
        <v>302</v>
      </c>
      <c r="B14" s="9" t="b">
        <v>1</v>
      </c>
      <c r="C14" s="3">
        <v>8.5</v>
      </c>
      <c r="D14" s="3">
        <v>5.5</v>
      </c>
      <c r="E14" s="3">
        <v>120</v>
      </c>
      <c r="F14" s="3" t="s">
        <v>315</v>
      </c>
      <c r="G14" s="3"/>
      <c r="H14" s="3"/>
      <c r="I14" s="3"/>
      <c r="J14">
        <v>10</v>
      </c>
      <c r="K14" s="3">
        <v>20</v>
      </c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>
      <c r="A15" s="3">
        <v>401</v>
      </c>
      <c r="B15" s="3" t="b">
        <v>0</v>
      </c>
      <c r="C15" s="3">
        <v>17</v>
      </c>
      <c r="D15" s="3">
        <v>3</v>
      </c>
      <c r="E15" s="3">
        <v>120</v>
      </c>
      <c r="F15" s="3" t="s">
        <v>315</v>
      </c>
      <c r="G15" s="9" t="s">
        <v>359</v>
      </c>
      <c r="H15" s="3" t="s">
        <v>365</v>
      </c>
      <c r="I15" s="3" t="s">
        <v>362</v>
      </c>
      <c r="J15">
        <v>0</v>
      </c>
      <c r="K15" s="3">
        <v>0</v>
      </c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>
      <c r="A16" s="3">
        <v>402</v>
      </c>
      <c r="B16" s="3" t="b">
        <v>0</v>
      </c>
      <c r="C16" s="3">
        <v>17</v>
      </c>
      <c r="D16" s="3">
        <v>3</v>
      </c>
      <c r="E16" s="3">
        <v>120</v>
      </c>
      <c r="F16" s="3" t="s">
        <v>315</v>
      </c>
      <c r="G16" s="9" t="s">
        <v>360</v>
      </c>
      <c r="H16" s="3" t="s">
        <v>365</v>
      </c>
      <c r="I16" s="3" t="s">
        <v>362</v>
      </c>
      <c r="J16">
        <v>0</v>
      </c>
      <c r="K16" s="3">
        <v>0</v>
      </c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>
      <c r="A17" s="3">
        <v>403</v>
      </c>
      <c r="B17" s="3" t="b">
        <v>0</v>
      </c>
      <c r="C17" s="3">
        <v>8.5</v>
      </c>
      <c r="D17" s="3">
        <v>5.5</v>
      </c>
      <c r="E17" s="3">
        <v>120</v>
      </c>
      <c r="F17" s="3" t="s">
        <v>315</v>
      </c>
      <c r="G17" s="9" t="s">
        <v>361</v>
      </c>
      <c r="H17" s="3" t="s">
        <v>367</v>
      </c>
      <c r="I17" s="3" t="s">
        <v>363</v>
      </c>
      <c r="J17">
        <v>5</v>
      </c>
      <c r="K17" s="3">
        <v>15</v>
      </c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>
      <c r="A18" s="3">
        <v>404</v>
      </c>
      <c r="B18" s="3" t="b">
        <v>0</v>
      </c>
      <c r="C18" s="3">
        <v>8.5</v>
      </c>
      <c r="D18" s="3">
        <v>5.5</v>
      </c>
      <c r="E18" s="3">
        <v>120</v>
      </c>
      <c r="F18" s="3" t="s">
        <v>315</v>
      </c>
      <c r="G18" s="9" t="s">
        <v>361</v>
      </c>
      <c r="H18" s="3" t="s">
        <v>367</v>
      </c>
      <c r="I18" s="3" t="s">
        <v>363</v>
      </c>
      <c r="J18">
        <v>5</v>
      </c>
      <c r="K18" s="3">
        <v>10</v>
      </c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3:F18" xr:uid="{00000000-0009-0000-0000-000002000000}">
    <sortState xmlns:xlrd2="http://schemas.microsoft.com/office/spreadsheetml/2017/richdata2" ref="A4:F18">
      <sortCondition ref="A4:A18"/>
    </sortState>
  </autoFilter>
  <sortState xmlns:xlrd2="http://schemas.microsoft.com/office/spreadsheetml/2017/richdata2" ref="A1:F3">
    <sortCondition descending="1" ref="A1:A3"/>
  </sortState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3"/>
  <sheetViews>
    <sheetView workbookViewId="0">
      <selection activeCell="A10" sqref="A10:C10"/>
    </sheetView>
  </sheetViews>
  <sheetFormatPr defaultColWidth="12.59765625" defaultRowHeight="15.75" customHeight="1"/>
  <cols>
    <col min="1" max="1" width="11.59765625" customWidth="1"/>
    <col min="2" max="2" width="13.265625" customWidth="1"/>
    <col min="3" max="3" width="15.73046875" customWidth="1"/>
  </cols>
  <sheetData>
    <row r="1" spans="1:26" ht="27">
      <c r="A1" s="1" t="s">
        <v>0</v>
      </c>
      <c r="B1" s="5" t="s">
        <v>316</v>
      </c>
      <c r="C1" s="5" t="s">
        <v>317</v>
      </c>
      <c r="D1" s="3" t="s">
        <v>318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7">
      <c r="A2" s="1" t="s">
        <v>26</v>
      </c>
      <c r="B2" s="5" t="s">
        <v>33</v>
      </c>
      <c r="C2" s="5" t="s">
        <v>319</v>
      </c>
      <c r="D2" s="3" t="s">
        <v>320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9">
      <c r="A3" s="1" t="s">
        <v>36</v>
      </c>
      <c r="B3" s="5" t="s">
        <v>321</v>
      </c>
      <c r="C3" s="5" t="s">
        <v>322</v>
      </c>
      <c r="D3" s="3" t="s">
        <v>323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9">
      <c r="A4" s="6">
        <v>501</v>
      </c>
      <c r="B4" s="8">
        <v>0</v>
      </c>
      <c r="C4" s="5" t="s">
        <v>324</v>
      </c>
      <c r="D4" s="2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9">
      <c r="A5" s="6">
        <v>502</v>
      </c>
      <c r="B5" s="8">
        <v>0</v>
      </c>
      <c r="C5" s="5" t="s">
        <v>76</v>
      </c>
      <c r="D5" s="2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9">
      <c r="A6" s="6">
        <v>503</v>
      </c>
      <c r="B6" s="8">
        <v>0</v>
      </c>
      <c r="C6" s="5" t="s">
        <v>76</v>
      </c>
      <c r="D6" s="2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9">
      <c r="A7" s="6">
        <v>504</v>
      </c>
      <c r="B7" s="8">
        <v>0</v>
      </c>
      <c r="C7" s="9" t="s">
        <v>76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9">
      <c r="A8" s="6">
        <v>505</v>
      </c>
      <c r="B8" s="8">
        <v>0</v>
      </c>
      <c r="C8" s="9" t="s">
        <v>76</v>
      </c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9">
      <c r="A9" s="6">
        <v>506</v>
      </c>
      <c r="B9" s="8">
        <v>0</v>
      </c>
      <c r="C9" s="9" t="s">
        <v>76</v>
      </c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>
      <c r="A10" s="8">
        <v>507</v>
      </c>
      <c r="B10" s="8">
        <v>0</v>
      </c>
      <c r="C10" s="9" t="s">
        <v>325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>
      <c r="A11" s="3">
        <v>508</v>
      </c>
      <c r="B11" s="3">
        <v>0</v>
      </c>
      <c r="C11" s="3" t="s">
        <v>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>
      <c r="A12" s="3">
        <v>509</v>
      </c>
      <c r="B12" s="3">
        <v>0</v>
      </c>
      <c r="C12" s="3" t="s">
        <v>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>
      <c r="A13" s="3">
        <v>510</v>
      </c>
      <c r="B13" s="3">
        <v>0</v>
      </c>
      <c r="C13" s="3" t="s">
        <v>76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>
      <c r="A14" s="3">
        <v>511</v>
      </c>
      <c r="B14" s="3">
        <v>0</v>
      </c>
      <c r="C14" s="3" t="s">
        <v>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>
      <c r="A15" s="3">
        <v>512</v>
      </c>
      <c r="B15" s="3">
        <v>0</v>
      </c>
      <c r="C15" s="3" t="s">
        <v>326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>
      <c r="A16" s="3">
        <v>513</v>
      </c>
      <c r="B16" s="3">
        <v>0</v>
      </c>
      <c r="C16" s="3" t="s">
        <v>340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>
      <c r="A17" s="3">
        <v>514</v>
      </c>
      <c r="B17" s="3">
        <v>0</v>
      </c>
      <c r="C17" s="3" t="s">
        <v>348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>
      <c r="A18" s="3">
        <v>801</v>
      </c>
      <c r="B18" s="3">
        <v>0</v>
      </c>
      <c r="C18" s="3" t="s">
        <v>76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>
      <c r="A19" s="3">
        <v>802</v>
      </c>
      <c r="B19" s="3">
        <v>0</v>
      </c>
      <c r="C19" s="3" t="s">
        <v>76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>
      <c r="A20" s="3">
        <v>803</v>
      </c>
      <c r="B20" s="3">
        <v>0</v>
      </c>
      <c r="C20" s="3" t="s">
        <v>76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>
      <c r="A21" s="3">
        <v>804</v>
      </c>
      <c r="B21" s="3">
        <v>0</v>
      </c>
      <c r="C21" s="3" t="s">
        <v>76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>
      <c r="A22" s="3">
        <v>805</v>
      </c>
      <c r="B22" s="3">
        <v>0</v>
      </c>
      <c r="C22" s="3" t="s">
        <v>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>
      <c r="A23" s="3">
        <v>806</v>
      </c>
      <c r="B23" s="3">
        <v>0</v>
      </c>
      <c r="C23" s="3" t="s">
        <v>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>
      <c r="A24" s="3">
        <v>807</v>
      </c>
      <c r="B24" s="3">
        <v>0</v>
      </c>
      <c r="C24" s="3" t="s">
        <v>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>
      <c r="A25" s="3">
        <v>808</v>
      </c>
      <c r="B25" s="3">
        <v>0</v>
      </c>
      <c r="C25" s="3" t="s">
        <v>327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>
      <c r="A26" s="3">
        <v>809</v>
      </c>
      <c r="B26" s="3">
        <v>0</v>
      </c>
      <c r="C26" s="3" t="s">
        <v>327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>
      <c r="A27" s="3">
        <v>810</v>
      </c>
      <c r="B27" s="3">
        <v>0</v>
      </c>
      <c r="C27" s="3" t="s">
        <v>76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>
      <c r="A28" s="3">
        <v>811</v>
      </c>
      <c r="B28" s="3">
        <v>0</v>
      </c>
      <c r="C28" s="3" t="s">
        <v>325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>
      <c r="A29" s="3">
        <v>812</v>
      </c>
      <c r="B29" s="3">
        <v>0</v>
      </c>
      <c r="C29" s="3" t="s">
        <v>328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>
      <c r="A30" s="3">
        <v>813</v>
      </c>
      <c r="B30" s="3">
        <v>0</v>
      </c>
      <c r="C30" s="3" t="s">
        <v>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>
      <c r="A31" s="3">
        <v>814</v>
      </c>
      <c r="B31" s="3">
        <v>0</v>
      </c>
      <c r="C31" s="3" t="s">
        <v>76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>
      <c r="A32" s="3">
        <v>815</v>
      </c>
      <c r="B32" s="3">
        <v>0</v>
      </c>
      <c r="C32" s="3" t="s">
        <v>76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>
      <c r="A33" s="3">
        <v>816</v>
      </c>
      <c r="B33" s="3">
        <v>0</v>
      </c>
      <c r="C33" s="3" t="s">
        <v>76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>
      <c r="A34" s="3">
        <v>817</v>
      </c>
      <c r="B34" s="3">
        <v>0</v>
      </c>
      <c r="C34" s="3" t="s">
        <v>76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.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.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/>
  </sheetViews>
  <sheetFormatPr defaultColWidth="12.59765625" defaultRowHeight="15.75" customHeight="1"/>
  <cols>
    <col min="1" max="1" width="15.1328125" customWidth="1"/>
    <col min="2" max="2" width="16.265625" customWidth="1"/>
  </cols>
  <sheetData>
    <row r="1" spans="1:5" ht="15.75" customHeight="1">
      <c r="A1" s="9" t="s">
        <v>329</v>
      </c>
      <c r="B1" s="9" t="s">
        <v>330</v>
      </c>
      <c r="C1" s="4" t="s">
        <v>331</v>
      </c>
      <c r="D1" s="4" t="s">
        <v>20</v>
      </c>
      <c r="E1" s="4" t="s">
        <v>265</v>
      </c>
    </row>
    <row r="2" spans="1:5" ht="15.75" customHeight="1">
      <c r="A2" s="9" t="s">
        <v>29</v>
      </c>
      <c r="B2" s="9" t="s">
        <v>32</v>
      </c>
      <c r="C2" s="4" t="s">
        <v>33</v>
      </c>
      <c r="D2" s="4" t="s">
        <v>34</v>
      </c>
      <c r="E2" s="4" t="s">
        <v>33</v>
      </c>
    </row>
    <row r="3" spans="1:5" ht="15.75" customHeight="1">
      <c r="A3" s="9" t="s">
        <v>332</v>
      </c>
      <c r="B3" s="9" t="s">
        <v>333</v>
      </c>
      <c r="C3" s="4" t="s">
        <v>55</v>
      </c>
      <c r="D3" s="4" t="s">
        <v>56</v>
      </c>
      <c r="E3" s="4" t="s">
        <v>283</v>
      </c>
    </row>
    <row r="4" spans="1:5" ht="15.75" customHeight="1">
      <c r="A4" s="9" t="s">
        <v>66</v>
      </c>
      <c r="B4" s="9" t="s">
        <v>152</v>
      </c>
      <c r="C4" s="4">
        <v>1</v>
      </c>
      <c r="D4" s="4" t="s">
        <v>334</v>
      </c>
      <c r="E4" s="4" t="s">
        <v>295</v>
      </c>
    </row>
    <row r="5" spans="1:5" ht="15.75" customHeight="1">
      <c r="A5" s="9" t="s">
        <v>74</v>
      </c>
      <c r="B5" s="9" t="s">
        <v>221</v>
      </c>
      <c r="C5" s="4">
        <v>1</v>
      </c>
      <c r="D5" s="4" t="s">
        <v>334</v>
      </c>
      <c r="E5" s="4" t="s">
        <v>295</v>
      </c>
    </row>
    <row r="6" spans="1:5" ht="15.75" customHeight="1">
      <c r="A6" s="9" t="s">
        <v>335</v>
      </c>
      <c r="B6" s="9" t="s">
        <v>97</v>
      </c>
      <c r="C6" s="4">
        <v>1</v>
      </c>
      <c r="D6" s="4" t="s">
        <v>334</v>
      </c>
      <c r="E6" s="4" t="s">
        <v>295</v>
      </c>
    </row>
    <row r="7" spans="1:5" ht="15.75" customHeight="1">
      <c r="A7" s="9" t="s">
        <v>137</v>
      </c>
      <c r="B7" s="9" t="s">
        <v>97</v>
      </c>
      <c r="C7" s="4">
        <v>1</v>
      </c>
      <c r="D7" s="4" t="s">
        <v>334</v>
      </c>
      <c r="E7" s="4" t="s">
        <v>301</v>
      </c>
    </row>
    <row r="8" spans="1:5" ht="15.75" customHeight="1">
      <c r="A8" s="5" t="s">
        <v>111</v>
      </c>
      <c r="B8" s="9" t="s">
        <v>97</v>
      </c>
      <c r="C8" s="4">
        <v>1</v>
      </c>
      <c r="D8" s="4" t="s">
        <v>334</v>
      </c>
      <c r="E8" s="4" t="s">
        <v>301</v>
      </c>
    </row>
    <row r="9" spans="1:5" ht="15.75" customHeight="1">
      <c r="C9" s="27"/>
      <c r="D9" s="4"/>
    </row>
    <row r="10" spans="1:5" ht="15.75" customHeight="1">
      <c r="C10" s="27"/>
      <c r="D10" s="4"/>
    </row>
    <row r="11" spans="1:5" ht="15.75" customHeight="1">
      <c r="C11" s="27"/>
      <c r="D11" s="4"/>
    </row>
    <row r="12" spans="1:5" ht="15.75" customHeight="1">
      <c r="C12" s="27"/>
      <c r="D12" s="4"/>
    </row>
    <row r="13" spans="1:5" ht="15.75" customHeight="1">
      <c r="C13" s="27"/>
      <c r="D13" s="4"/>
    </row>
    <row r="14" spans="1:5" ht="15.75" customHeight="1">
      <c r="C14" s="27"/>
      <c r="D14" s="4"/>
    </row>
    <row r="15" spans="1:5" ht="15.75" customHeight="1">
      <c r="C15" s="27"/>
      <c r="D15" s="4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5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CharacterData</vt:lpstr>
      <vt:lpstr>PlayerData</vt:lpstr>
      <vt:lpstr>EnemyData</vt:lpstr>
      <vt:lpstr>NPCData</vt:lpstr>
      <vt:lpstr>BloodData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영민 이</cp:lastModifiedBy>
  <cp:revision>3</cp:revision>
  <dcterms:created xsi:type="dcterms:W3CDTF">2025-08-06T11:51:44Z</dcterms:created>
  <dcterms:modified xsi:type="dcterms:W3CDTF">2025-08-13T13:07:14Z</dcterms:modified>
  <cp:version>10.105.280.55985</cp:version>
</cp:coreProperties>
</file>